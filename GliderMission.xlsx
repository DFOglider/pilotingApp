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5ABDFD72-E13D-4FF1-9B07-8ED67F030F86}"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4" i="1" l="1"/>
  <c r="W95" i="1"/>
  <c r="W93" i="1"/>
  <c r="W92" i="1" l="1"/>
  <c r="W91" i="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<sst xmlns="http://schemas.openxmlformats.org/spreadsheetml/2006/main" count="3286" uniqueCount="911">
  <si>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</si>
  <si>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</si>
  <si>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</si>
  <si>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</si>
  <si>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</si>
  <si>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</si>
  <si>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</si>
  <si>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</si>
  <si>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</si>
  <si>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</si>
  <si>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</si>
  <si>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</si>
  <si>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</si>
  <si>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</si>
  <si>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</si>
  <si>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</si>
  <si>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</si>
  <si>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</si>
  <si>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</si>
  <si>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</si>
  <si>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</si>
  <si>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</si>
  <si>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</si>
  <si>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</si>
  <si>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</si>
  <si>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</si>
  <si>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</si>
  <si>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</si>
  <si>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</si>
  <si>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</si>
  <si>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</si>
  <si>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</si>
  <si>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</si>
  <si>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</si>
  <si>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</si>
  <si>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</si>
  <si>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</si>
  <si>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</si>
  <si>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</si>
  <si>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</si>
  <si>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</si>
  <si>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</si>
  <si>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</si>
  <si>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</si>
  <si>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</si>
  <si>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</si>
  <si>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</si>
  <si>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</si>
  <si>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</si>
  <si>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</si>
  <si>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</si>
  <si>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</si>
  <si>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</si>
  <si>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</si>
  <si>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</si>
  <si>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</si>
  <si>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</si>
  <si>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</si>
  <si>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</si>
  <si>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</si>
  <si>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</si>
  <si>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</si>
  <si>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</si>
  <si>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</si>
  <si>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</si>
  <si>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</si>
  <si>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</si>
  <si>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</si>
  <si>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</si>
  <si>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</si>
  <si>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</si>
  <si>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</si>
  <si>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</si>
  <si>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</si>
  <si>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</si>
  <si>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</si>
  <si>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</si>
  <si>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</si>
  <si>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</si>
  <si>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</si>
  <si>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</si>
  <si>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</si>
  <si>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</si>
  <si>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</si>
  <si>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</si>
  <si>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</si>
  <si>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</si>
  <si>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</si>
  <si>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</si>
  <si>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</si>
  <si>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</si>
  <si>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</si>
  <si>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</si>
  <si>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</si>
  <si>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</si>
  <si>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</si>
  <si>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</si>
  <si>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</si>
  <si>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</si>
  <si>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</si>
  <si>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</si>
  <si>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</si>
  <si>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</si>
  <si>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</si>
  <si>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</si>
  <si>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</si>
  <si>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</si>
  <si>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</si>
  <si>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</si>
  <si>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</si>
  <si>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</si>
  <si>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</si>
  <si>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</si>
  <si>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</si>
  <si>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</si>
  <si>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</si>
  <si>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</si>
  <si>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</si>
  <si>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</si>
  <si>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</si>
  <si>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</si>
  <si>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</si>
  <si>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</si>
  <si>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</si>
  <si>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</si>
  <si>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</si>
  <si>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</si>
  <si>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</si>
  <si>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</si>
  <si>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</si>
  <si>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</si>
  <si>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</si>
  <si>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</si>
  <si>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</si>
  <si>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</si>
  <si>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</si>
  <si>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</si>
  <si>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</si>
  <si>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</si>
  <si>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</si>
  <si>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</si>
  <si>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</si>
  <si>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</si>
  <si>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</si>
  <si>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</si>
  <si>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</si>
  <si>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</si>
  <si>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</si>
  <si>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</si>
  <si>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</si>
  <si>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</si>
  <si>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</si>
  <si>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</si>
  <si>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</si>
  <si>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</si>
  <si>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</si>
  <si>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</si>
  <si>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</si>
  <si>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</si>
  <si>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</si>
  <si>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</si>
  <si>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</si>
  <si>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</si>
  <si>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</si>
  <si>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</si>
  <si>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</si>
  <si>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</si>
  <si>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</si>
  <si>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</si>
  <si>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</si>
  <si>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</si>
  <si>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</si>
  <si>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</si>
  <si>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</si>
  <si>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</si>
  <si>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</si>
  <si>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</si>
  <si>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</si>
  <si>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</si>
  <si>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</si>
  <si>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</si>
  <si>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</si>
  <si>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</si>
  <si>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</si>
  <si>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</si>
  <si>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</si>
  <si>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</si>
  <si>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</si>
  <si>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</si>
  <si>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</si>
  <si>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</si>
  <si>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</si>
  <si>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</si>
  <si>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</si>
  <si>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</si>
  <si>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</si>
  <si>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</si>
  <si>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</si>
  <si>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</si>
  <si>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</si>
  <si>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</si>
  <si>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</si>
  <si>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</si>
  <si>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</si>
  <si>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</si>
  <si>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</si>
  <si>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</si>
  <si>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</si>
  <si>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</si>
  <si>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</si>
  <si>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</si>
  <si>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</si>
  <si>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</si>
  <si>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</si>
  <si>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</si>
  <si>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</si>
  <si>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</si>
  <si>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</si>
  <si>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</si>
  <si>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</si>
  <si>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</si>
  <si>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</si>
  <si>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</si>
  <si>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</si>
  <si>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</si>
  <si>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</si>
  <si>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</si>
  <si>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</si>
  <si>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</si>
  <si>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</si>
  <si>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</si>
  <si>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</si>
  <si>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</si>
  <si>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</si>
  <si>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</si>
  <si>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</si>
  <si>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</si>
  <si>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</si>
  <si>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</si>
  <si>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</si>
  <si>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</si>
  <si>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</si>
  <si>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</si>
  <si>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</si>
  <si>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</si>
  <si>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</si>
  <si>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</si>
  <si>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</si>
  <si>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</si>
  <si>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</si>
  <si>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</si>
  <si>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</si>
  <si>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</si>
  <si>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</si>
  <si>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</si>
  <si>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</si>
  <si>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</si>
  <si>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</si>
  <si>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</si>
  <si>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</si>
  <si>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</si>
  <si>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</si>
  <si>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</si>
  <si>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</si>
  <si>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</si>
  <si>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</si>
  <si>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</si>
  <si>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</si>
  <si>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</si>
  <si>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</si>
  <si>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</si>
  <si>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</si>
  <si>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</si>
  <si>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</si>
  <si>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</si>
  <si>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</si>
  <si>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</si>
  <si>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</si>
  <si>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</si>
  <si>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</si>
  <si>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</si>
  <si>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</si>
  <si>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</si>
  <si>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</si>
  <si>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</si>
  <si>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</si>
  <si>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</si>
  <si>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</si>
  <si>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</si>
  <si>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</si>
  <si>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</si>
  <si>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</si>
  <si>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</si>
  <si>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</si>
  <si>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</si>
  <si>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</si>
  <si>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</si>
  <si>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</si>
  <si>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</si>
  <si>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</si>
  <si>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</si>
  <si>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</si>
  <si>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</si>
  <si>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</si>
  <si>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</si>
  <si>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</si>
  <si>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</si>
  <si>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</si>
  <si>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</si>
  <si>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</si>
  <si>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</si>
  <si>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</si>
  <si>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</si>
  <si>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</si>
  <si>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</si>
  <si>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</si>
  <si>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</si>
  <si>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</si>
  <si>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</si>
  <si>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</si>
  <si>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</si>
  <si>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</si>
  <si>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</si>
  <si>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</si>
  <si>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</si>
  <si>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</si>
  <si>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</si>
  <si>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</si>
  <si>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</si>
  <si>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</si>
  <si>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</si>
  <si>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</si>
  <si>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</si>
  <si>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</si>
  <si>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</si>
  <si>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</si>
  <si>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</si>
  <si>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</si>
  <si>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</si>
  <si>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</si>
  <si>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</si>
  <si>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</si>
  <si>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</si>
  <si>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</si>
  <si>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</si>
  <si>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</si>
  <si>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</si>
  <si>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</si>
  <si>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</si>
  <si>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</si>
  <si>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</si>
  <si>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</si>
  <si>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</si>
  <si>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</si>
  <si>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</si>
  <si>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</si>
  <si>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</si>
  <si>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</si>
  <si>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</si>
  <si>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</si>
  <si>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</si>
  <si>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</si>
  <si>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</si>
  <si>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</si>
  <si>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</si>
  <si>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</si>
  <si>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</si>
  <si>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</si>
  <si>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</si>
  <si>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</si>
  <si>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</si>
  <si>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</si>
  <si>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</si>
  <si>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</si>
  <si>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</si>
  <si>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</si>
  <si>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</si>
  <si>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</si>
  <si>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</si>
  <si>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</si>
  <si>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</si>
  <si>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</si>
  <si>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</si>
  <si>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</si>
  <si>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</si>
  <si>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</si>
  <si>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</si>
  <si>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</si>
  <si>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</si>
  <si>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</si>
  <si>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</si>
  <si>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</si>
  <si>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</si>
  <si>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</si>
  <si>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</si>
  <si>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</si>
  <si>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</si>
  <si>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</si>
  <si>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</si>
  <si>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</si>
  <si>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</si>
  <si>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</si>
  <si>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</si>
  <si>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</si>
  <si>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</si>
  <si>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</si>
  <si>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</si>
  <si>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</si>
  <si>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</si>
  <si>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</si>
  <si>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</si>
  <si>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</si>
  <si>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</si>
  <si>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</si>
  <si>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</si>
  <si>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</si>
  <si>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</si>
  <si>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</si>
  <si>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</si>
  <si>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</si>
  <si>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</si>
  <si>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</si>
  <si>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</si>
  <si>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</si>
  <si>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</si>
  <si>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</si>
  <si>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</si>
  <si>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</si>
  <si>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</si>
  <si>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</si>
  <si>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</si>
  <si>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</si>
  <si>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</si>
  <si>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</si>
  <si>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</si>
  <si>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</si>
  <si>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</si>
  <si>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</si>
  <si>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</si>
  <si>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</si>
  <si>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</si>
  <si>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</si>
  <si>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</si>
  <si>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</si>
  <si>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</si>
  <si>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</si>
  <si>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</si>
  <si>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</si>
  <si>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</si>
  <si>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</si>
  <si>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</si>
  <si>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</si>
  <si>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</si>
  <si>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</si>
  <si>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</si>
  <si>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</si>
  <si>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</si>
  <si>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</si>
  <si>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</si>
  <si>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</si>
  <si>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</si>
  <si>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</si>
  <si>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</si>
  <si>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</si>
  <si>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</si>
  <si>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</si>
  <si>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</si>
  <si>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</si>
  <si>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</si>
  <si>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</si>
  <si>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</si>
  <si>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</si>
  <si>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</si>
  <si>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</si>
  <si>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</si>
  <si>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</si>
  <si>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</si>
  <si>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</si>
  <si>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</si>
  <si>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</si>
  <si>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</si>
  <si>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</si>
  <si>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</si>
  <si>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</si>
  <si>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</si>
  <si>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</si>
  <si>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</si>
  <si>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</si>
  <si>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</si>
  <si>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</si>
  <si>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</si>
  <si>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</si>
  <si>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</si>
  <si>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</si>
  <si>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</si>
  <si>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</si>
  <si>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</si>
  <si>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</si>
  <si>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</si>
  <si>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</si>
  <si>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</si>
  <si>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</si>
  <si>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</si>
  <si>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</si>
  <si>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</si>
  <si>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</si>
  <si>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</si>
  <si>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</si>
  <si>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</si>
  <si>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</si>
  <si>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</si>
  <si>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</si>
  <si>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</si>
  <si>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</si>
  <si>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</si>
  <si>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</si>
  <si>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</si>
  <si>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</si>
  <si>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</si>
  <si>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</si>
  <si>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</si>
  <si>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</si>
  <si>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</si>
  <si>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</si>
  <si>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</si>
  <si>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</si>
  <si>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</si>
  <si>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</si>
  <si>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</si>
  <si>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</si>
  <si>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</si>
  <si>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</si>
  <si>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</si>
  <si>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</si>
  <si>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</si>
  <si>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</si>
  <si>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</si>
  <si>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</si>
  <si>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</si>
  <si>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</si>
  <si>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</si>
  <si>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</si>
  <si>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</si>
  <si>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</si>
  <si>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</si>
  <si>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</si>
  <si>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</si>
  <si>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</si>
  <si>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</si>
  <si>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</si>
  <si>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</si>
  <si>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</si>
  <si>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</si>
  <si>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</si>
  <si>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</si>
  <si>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</si>
  <si>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</si>
  <si>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</si>
  <si>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</si>
  <si>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</si>
  <si>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</si>
  <si>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</si>
  <si>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</si>
  <si>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</si>
  <si>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</si>
  <si>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</si>
  <si>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</si>
  <si>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</si>
  <si>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</si>
  <si>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</si>
  <si>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</si>
  <si>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</si>
  <si>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</si>
  <si>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</si>
  <si>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</si>
  <si>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</si>
  <si>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</si>
  <si>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</si>
  <si>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</si>
  <si>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</si>
  <si>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</si>
  <si>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</si>
  <si>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</si>
  <si>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</si>
  <si>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</si>
  <si>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</si>
  <si>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</si>
  <si>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</si>
  <si>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</si>
  <si>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</si>
  <si>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</si>
  <si>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</si>
  <si>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</si>
  <si>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</si>
  <si>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</si>
  <si>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</si>
  <si>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</si>
  <si>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</si>
  <si>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</si>
  <si>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</si>
  <si>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</si>
  <si>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</si>
  <si>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</si>
  <si>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</si>
  <si>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</si>
  <si>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</si>
  <si>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</si>
  <si>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</si>
  <si>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</si>
  <si>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</si>
  <si>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</si>
  <si>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</si>
  <si>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</si>
  <si>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</si>
  <si>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</si>
  <si>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</si>
  <si>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</si>
  <si>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</si>
  <si>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</si>
  <si>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</si>
  <si>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</si>
  <si>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</si>
  <si>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</si>
  <si>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</si>
  <si>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</si>
  <si>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</si>
  <si>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</si>
  <si>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</si>
  <si>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</si>
  <si>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</si>
  <si>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</si>
  <si>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</si>
  <si>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</si>
  <si>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</si>
  <si>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</si>
  <si>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</si>
  <si>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</si>
  <si>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</si>
  <si>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</si>
  <si>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</si>
  <si>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</si>
  <si>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</si>
  <si>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</si>
  <si>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</si>
  <si>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</si>
  <si>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</si>
  <si>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</si>
  <si>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</si>
  <si>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</si>
  <si>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</si>
  <si>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</si>
  <si>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</si>
  <si>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</si>
  <si>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</si>
  <si>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</si>
  <si>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</si>
  <si>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</si>
  <si>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</si>
  <si>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</si>
  <si>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</si>
  <si>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</si>
  <si>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</si>
  <si>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</si>
  <si>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</si>
  <si>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</si>
  <si>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</si>
  <si>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</si>
  <si>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</si>
  <si>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</si>
  <si>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</si>
  <si>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</si>
  <si>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</si>
  <si>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</si>
  <si>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</si>
  <si>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</si>
  <si>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</si>
  <si>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</si>
  <si>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</si>
  <si>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</si>
  <si>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</si>
  <si>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</si>
  <si>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</si>
  <si>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</si>
  <si>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</si>
  <si>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</si>
  <si>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</si>
  <si>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</si>
  <si>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</si>
  <si>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</si>
  <si>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</si>
  <si>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</si>
  <si>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</si>
  <si>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</si>
  <si>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</si>
  <si>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</si>
  <si>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</si>
  <si>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</si>
  <si>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</si>
  <si>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</si>
  <si>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</si>
  <si>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</si>
  <si>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</si>
  <si>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</si>
  <si>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</si>
  <si>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</si>
  <si>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</si>
  <si>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</si>
  <si>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</si>
  <si>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</si>
  <si>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</si>
  <si>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</si>
  <si>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</si>
  <si>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</si>
  <si>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</si>
  <si>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</si>
  <si>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</si>
  <si>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</si>
  <si>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</si>
  <si>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</si>
  <si>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</si>
  <si>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</si>
  <si>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</si>
  <si>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</si>
  <si>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</si>
  <si>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</si>
  <si>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</si>
  <si>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</si>
  <si>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</si>
  <si>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</si>
  <si>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</si>
  <si>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</si>
  <si>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</si>
  <si>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</si>
  <si>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</si>
  <si>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</si>
  <si>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</si>
  <si>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</si>
  <si>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</si>
  <si>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</si>
  <si>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</si>
  <si>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</si>
  <si>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</si>
  <si>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</si>
  <si>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</si>
  <si>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</si>
  <si>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</si>
  <si>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</si>
  <si>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</si>
  <si>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</si>
  <si>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</si>
  <si>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</si>
  <si>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</si>
  <si>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</si>
  <si>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</si>
  <si>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</si>
  <si>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</si>
  <si>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</si>
  <si>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</si>
  <si>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</si>
  <si>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</si>
  <si>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</si>
  <si>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</si>
  <si>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</si>
  <si>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</si>
  <si>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</si>
  <si>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237958</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</si>
  <si>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</si>
  <si>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</si>
  <si>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</si>
  <si>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</si>
  <si>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</si>
  <si>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</si>
  <si>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</si>
  <si>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</si>
  <si>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</si>
  <si>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</si>
  <si>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</si>
  <si>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</si>
  <si>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</si>
  <si>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</si>
  <si>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</si>
  <si>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</si>
  <si>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</si>
  <si>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</si>
  <si>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</si>
  <si>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</si>
  <si>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</si>
  <si>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</si>
  <si>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</si>
  <si>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</si>
  <si>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</si>
  <si>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</si>
  <si>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</si>
  <si>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</si>
  <si>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</si>
  <si>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</si>
  <si>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</si>
  <si>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</si>
  <si>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</si>
  <si>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</si>
  <si>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</si>
  <si>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</si>
  <si>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</si>
  <si>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</si>
  <si>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</si>
  <si>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</si>
  <si>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</si>
  <si>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</si>
  <si>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</si>
  <si>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</si>
  <si>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</si>
  <si>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</si>
  <si>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</si>
  <si>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</si>
  <si>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</si>
  <si>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</si>
  <si>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</si>
  <si>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</si>
  <si>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</si>
  <si>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</si>
  <si>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</si>
  <si>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</si>
  <si>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</si>
  <si>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</si>
  <si>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</si>
  <si>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</si>
  <si>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</si>
  <si>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</si>
  <si>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</si>
  <si>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</si>
  <si>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</si>
  <si>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</si>
  <si>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</si>
  <si>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</si>
  <si>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</si>
  <si>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</si>
  <si>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</si>
  <si>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</si>
  <si>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</si>
  <si>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</si>
  <si>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</si>
  <si>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</si>
  <si>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</si>
  <si>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</si>
  <si>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</si>
  <si>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</si>
  <si>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</si>
  <si>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</si>
  <si>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</si>
  <si>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</si>
  <si>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</si>
  <si>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</si>
  <si>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</si>
  <si>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</si>
  <si>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</si>
  <si>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</si>
  <si>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</si>
  <si>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Release last charge</t>
  </si>
  <si>
    <t>jan 2026?</t>
  </si>
  <si>
    <t>2 - with 5deg pitch</t>
  </si>
  <si>
    <t>GLI2026_SEA032_102</t>
  </si>
  <si>
    <t>first mission at 1000m depth, Alseamar sim card, crossed path with Dal glider on the way out just after Hl4, CDOM jum in deep water</t>
  </si>
  <si>
    <t>Ecopuck jump in deep water</t>
  </si>
  <si>
    <t>AZMP cruise sampled HL2 right during glider deployment, back and forth between HL2 and HL3, glider went to 817m because of wrong pressure sensor coef</t>
  </si>
  <si>
    <t>internal waves on shelf break, back and forth Emerald basin,glider went to 817m because of wrong pressure sensor coef</t>
  </si>
  <si>
    <t>with Legato and T.ODO, CDOM negative values, can't load the T.ODO values, wrong battery was inside, need to send to RBR, TODO data not recoverable,glider went to 817m because of wrong pressure sensor coef</t>
  </si>
  <si>
    <t>CDOM in the negative range (will be flagged I guess, so maybe not needed in the comments), glider and sensor pressure missmatch, trust CTD pressure</t>
  </si>
  <si>
    <t>glider and sensor pressure missmatch, trust CTD pressure</t>
  </si>
  <si>
    <t>new pld</t>
  </si>
  <si>
    <t>241286</t>
  </si>
  <si>
    <t>240440</t>
  </si>
  <si>
    <t>107453</t>
  </si>
  <si>
    <t>241970 puck new pld</t>
  </si>
  <si>
    <t>519</t>
  </si>
  <si>
    <t>163 new</t>
  </si>
  <si>
    <t>220</t>
  </si>
  <si>
    <t>221</t>
  </si>
  <si>
    <t>241049</t>
  </si>
  <si>
    <t>240444</t>
  </si>
  <si>
    <t>239559</t>
  </si>
  <si>
    <t>45-624-18</t>
  </si>
  <si>
    <t>45-623-18</t>
  </si>
  <si>
    <t>240447</t>
  </si>
  <si>
    <t>240453</t>
  </si>
  <si>
    <t>241050</t>
  </si>
  <si>
    <t>241983</t>
  </si>
  <si>
    <t>20260130</t>
  </si>
  <si>
    <t>HL part</t>
  </si>
  <si>
    <t>4551</t>
  </si>
  <si>
    <t>Feb 2026?</t>
  </si>
  <si>
    <t>Back from maintenance seal trial, First mission with thrusters</t>
  </si>
  <si>
    <t>20260120</t>
  </si>
  <si>
    <t>20251216</t>
  </si>
  <si>
    <t>241970</t>
  </si>
  <si>
    <t>20260312</t>
  </si>
  <si>
    <t>20260220</t>
  </si>
  <si>
    <t>Microrider probes cal date</t>
  </si>
  <si>
    <t>Sigma-T/Halmar</t>
  </si>
  <si>
    <t>CODA 2pts cal date</t>
  </si>
  <si>
    <t>AZMP Spring 2026</t>
  </si>
  <si>
    <t>GLI2026_SEA024_094</t>
  </si>
  <si>
    <t>GLI2026_SEA021_089</t>
  </si>
  <si>
    <t>GL1-GL2-HL4-GL2-GL1-TRI-DR</t>
  </si>
  <si>
    <t>Halmar/Halmar</t>
  </si>
  <si>
    <t xml:space="preserve">Halmar/ </t>
  </si>
  <si>
    <t>Back from maintenance seal trial, Eco needs to be calibration, CDOM values weird compare to SEA021</t>
  </si>
  <si>
    <t>GLI2026_SEA021_092</t>
  </si>
  <si>
    <t>GLI2026_SEA019_151</t>
  </si>
  <si>
    <t>GL1-GL2-HL4-GL2-HL3-GL1-TRI-GL1-TRI-DR</t>
  </si>
  <si>
    <t>Thruster piloting experience towards the end</t>
  </si>
  <si>
    <t>First microrider/ADCP/Tridente mission, statistic period too big changed mid mission,  linear issue where actuator doesn't follow command, lots of navigation tests. Lost ISDP after 2 days, fixed with MR OFF/ON mid 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</si>
</sst>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9">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Fill="1" applyBorder="1" applyAlignment="1">
      <alignment horizontal="right"/>
    </xf>
    <xf numFmtId="49" fontId="7" fillId="0" borderId="1" xfId="2" applyNumberFormat="1" applyFont="1" applyFill="1" applyBorder="1" applyAlignment="1">
      <alignment horizontal="center"/>
    </xf>
    <xf numFmtId="49" fontId="4" fillId="0" borderId="0" xfId="2" applyNumberFormat="1" applyFill="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R106"/>
  <sheetViews>
    <sheetView tabSelected="1" zoomScaleNormal="100" workbookViewId="0">
      <pane xSplit="6" ySplit="2" topLeftCell="G83" activePane="bottomRight" state="frozen"/>
      <selection pane="topRight" activeCell="F1" sqref="F1"/>
      <selection pane="bottomLeft" activeCell="A3" sqref="A3"/>
      <selection pane="bottomRight" activeCell="CM96" sqref="CM96"/>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18.81640625" style="7" customWidth="1"/>
    <col min="32" max="34" width="20.54296875" style="77" customWidth="1"/>
    <col min="35" max="35" width="24.90625" style="77" bestFit="1" customWidth="1"/>
    <col min="36" max="36" width="7.1796875" bestFit="1" customWidth="1"/>
    <col min="37" max="37" width="10" bestFit="1" customWidth="1"/>
    <col min="38" max="38" width="7.1796875" bestFit="1" customWidth="1"/>
    <col min="39" max="39" width="15.1796875" bestFit="1" customWidth="1"/>
    <col min="40" max="40" width="15.54296875" style="7" bestFit="1" customWidth="1"/>
    <col min="41" max="41" width="15.54296875" style="7" customWidth="1"/>
    <col min="42" max="42" width="15.81640625" style="7" bestFit="1" customWidth="1"/>
    <col min="43" max="43" width="15.54296875" style="7" customWidth="1"/>
    <col min="44" max="44" width="7.81640625" style="4" bestFit="1" customWidth="1"/>
    <col min="45" max="45" width="10.453125" style="5" bestFit="1" customWidth="1"/>
    <col min="46" max="46" width="15.453125" style="78" bestFit="1" customWidth="1"/>
    <col min="47" max="47" width="14.1796875" style="6" bestFit="1" customWidth="1"/>
    <col min="48" max="48" width="15.81640625" style="5" bestFit="1" customWidth="1"/>
    <col min="49" max="49" width="13.453125" style="5" bestFit="1" customWidth="1"/>
    <col min="50" max="50" width="16.81640625" style="78" bestFit="1" customWidth="1"/>
    <col min="51" max="51" width="11.81640625" style="78" customWidth="1"/>
    <col min="52" max="52" width="12.81640625" style="78" bestFit="1" customWidth="1"/>
    <col min="53" max="53" width="12.81640625" style="78" customWidth="1"/>
    <col min="54" max="54" width="11.81640625" style="5" bestFit="1" customWidth="1"/>
    <col min="55" max="55" width="14.81640625" style="6" bestFit="1" customWidth="1"/>
    <col min="56" max="56" width="17.81640625" style="6" customWidth="1"/>
    <col min="57" max="58" width="12.81640625" style="78" customWidth="1"/>
    <col min="59" max="59" width="11.81640625" style="78" customWidth="1"/>
    <col min="60" max="60" width="14.81640625" style="78" bestFit="1" customWidth="1"/>
    <col min="61" max="61" width="15.1796875" style="78" bestFit="1" customWidth="1"/>
    <col min="62" max="64" width="15.1796875" style="78" customWidth="1"/>
    <col min="65" max="65" width="17" style="78" bestFit="1" customWidth="1"/>
    <col min="66" max="67" width="17.81640625" style="6" customWidth="1"/>
    <col min="68" max="75" width="15.1796875" style="78" customWidth="1"/>
    <col min="76" max="76" width="23.54296875" style="78" bestFit="1" customWidth="1"/>
    <col min="77" max="77" width="11.81640625" style="5" customWidth="1"/>
    <col min="78" max="81" width="16.36328125" style="1" customWidth="1"/>
    <col min="82" max="82" width="12.81640625" style="6" bestFit="1" customWidth="1"/>
    <col min="83" max="83" width="12.81640625" style="6" customWidth="1"/>
    <col min="84" max="84" width="7" style="6" bestFit="1" customWidth="1"/>
    <col min="85" max="85" width="7.81640625" style="6" bestFit="1" customWidth="1"/>
    <col min="86" max="86" width="15.54296875" bestFit="1" customWidth="1"/>
    <col min="87" max="87" width="19" style="4" bestFit="1" customWidth="1"/>
    <col min="88" max="88" width="20" style="4" bestFit="1" customWidth="1"/>
    <col min="89" max="89" width="25.81640625" style="7" customWidth="1"/>
    <col min="90" max="90" width="64.453125" style="7" customWidth="1"/>
    <col min="91" max="91" width="78.81640625" style="8" customWidth="1"/>
  </cols>
  <sheetData>
    <row r="1" spans="1:91" s="23" customFormat="1" ht="15" thickBot="1" x14ac:dyDescent="0.4">
      <c r="C1" s="24"/>
      <c r="D1" s="146" t="s">
        <v>797</v>
      </c>
      <c r="E1" s="94" t="s">
        <v>430</v>
      </c>
      <c r="F1" s="91" t="s">
        <v>822</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6"/>
      <c r="BY1" s="27"/>
      <c r="BZ1" s="28"/>
      <c r="CA1" s="28"/>
      <c r="CB1" s="28"/>
      <c r="CC1" s="28"/>
      <c r="CD1" s="26"/>
      <c r="CE1" s="26"/>
      <c r="CF1" s="26"/>
      <c r="CG1" s="26"/>
      <c r="CI1" s="29"/>
      <c r="CJ1" s="29"/>
      <c r="CK1" s="25"/>
      <c r="CL1" s="25"/>
      <c r="CM1" s="30"/>
    </row>
    <row r="2" spans="1:91"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850</v>
      </c>
      <c r="AF2" s="68" t="s">
        <v>851</v>
      </c>
      <c r="AG2" s="68" t="s">
        <v>360</v>
      </c>
      <c r="AH2" s="68" t="s">
        <v>852</v>
      </c>
      <c r="AI2" s="68" t="s">
        <v>853</v>
      </c>
      <c r="AJ2" s="32" t="s">
        <v>55</v>
      </c>
      <c r="AK2" s="32" t="s">
        <v>57</v>
      </c>
      <c r="AL2" s="32" t="s">
        <v>56</v>
      </c>
      <c r="AM2" s="32" t="s">
        <v>108</v>
      </c>
      <c r="AN2" s="68" t="s">
        <v>109</v>
      </c>
      <c r="AO2" s="68" t="s">
        <v>844</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821</v>
      </c>
      <c r="BK2" s="70" t="s">
        <v>771</v>
      </c>
      <c r="BL2" s="70" t="s">
        <v>770</v>
      </c>
      <c r="BM2" s="161" t="s">
        <v>898</v>
      </c>
      <c r="BN2" s="72" t="s">
        <v>848</v>
      </c>
      <c r="BO2" s="72" t="s">
        <v>847</v>
      </c>
      <c r="BP2" s="70" t="s">
        <v>849</v>
      </c>
      <c r="BQ2" s="70" t="s">
        <v>846</v>
      </c>
      <c r="BR2" s="70" t="s">
        <v>363</v>
      </c>
      <c r="BS2" s="70" t="s">
        <v>364</v>
      </c>
      <c r="BT2" s="70" t="s">
        <v>365</v>
      </c>
      <c r="BU2" s="161" t="s">
        <v>854</v>
      </c>
      <c r="BV2" s="161" t="s">
        <v>855</v>
      </c>
      <c r="BW2" s="161" t="s">
        <v>856</v>
      </c>
      <c r="BX2" s="161" t="s">
        <v>896</v>
      </c>
      <c r="BY2" s="73" t="s">
        <v>167</v>
      </c>
      <c r="BZ2" s="33" t="s">
        <v>168</v>
      </c>
      <c r="CA2" s="33" t="s">
        <v>857</v>
      </c>
      <c r="CB2" s="33" t="s">
        <v>843</v>
      </c>
      <c r="CC2" s="33" t="s">
        <v>835</v>
      </c>
      <c r="CD2" s="70" t="s">
        <v>92</v>
      </c>
      <c r="CE2" s="70" t="s">
        <v>93</v>
      </c>
      <c r="CF2" s="70" t="s">
        <v>221</v>
      </c>
      <c r="CG2" s="70" t="s">
        <v>688</v>
      </c>
      <c r="CH2" s="32" t="s">
        <v>41</v>
      </c>
      <c r="CI2" s="74" t="s">
        <v>191</v>
      </c>
      <c r="CJ2" s="74" t="s">
        <v>192</v>
      </c>
      <c r="CK2" s="75" t="s">
        <v>659</v>
      </c>
      <c r="CL2" s="75" t="s">
        <v>689</v>
      </c>
      <c r="CM2" s="76" t="s">
        <v>12</v>
      </c>
    </row>
    <row r="3" spans="1:91"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5"/>
      <c r="BY3" s="10" t="s">
        <v>229</v>
      </c>
      <c r="BZ3" s="17" t="s">
        <v>169</v>
      </c>
      <c r="CA3" s="17"/>
      <c r="CB3" s="17" t="s">
        <v>845</v>
      </c>
      <c r="CC3" s="49" t="s">
        <v>837</v>
      </c>
      <c r="CD3" s="15" t="s">
        <v>95</v>
      </c>
      <c r="CE3" s="15" t="s">
        <v>94</v>
      </c>
      <c r="CF3" s="15"/>
      <c r="CG3" s="15"/>
      <c r="CH3" s="13"/>
      <c r="CI3" s="14" t="s">
        <v>205</v>
      </c>
      <c r="CJ3" s="14" t="s">
        <v>204</v>
      </c>
      <c r="CK3" s="18" t="s">
        <v>196</v>
      </c>
      <c r="CL3" s="12"/>
      <c r="CM3" s="19" t="s">
        <v>215</v>
      </c>
    </row>
    <row r="4" spans="1:91"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5"/>
      <c r="BY4" s="10" t="s">
        <v>229</v>
      </c>
      <c r="BZ4" s="17" t="s">
        <v>169</v>
      </c>
      <c r="CA4" s="17"/>
      <c r="CB4" s="17" t="s">
        <v>845</v>
      </c>
      <c r="CC4" s="49" t="s">
        <v>837</v>
      </c>
      <c r="CD4" s="15" t="s">
        <v>95</v>
      </c>
      <c r="CE4" s="15" t="s">
        <v>94</v>
      </c>
      <c r="CF4" s="15"/>
      <c r="CG4" s="15"/>
      <c r="CH4" s="2"/>
      <c r="CI4" s="14" t="s">
        <v>205</v>
      </c>
      <c r="CJ4" s="14" t="s">
        <v>204</v>
      </c>
      <c r="CK4" s="18" t="s">
        <v>197</v>
      </c>
      <c r="CL4" s="18" t="s">
        <v>707</v>
      </c>
      <c r="CM4" s="21" t="s">
        <v>690</v>
      </c>
    </row>
    <row r="5" spans="1:91" s="23" customFormat="1" x14ac:dyDescent="0.35">
      <c r="A5" s="136">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0"/>
      <c r="BY5" s="41" t="s">
        <v>229</v>
      </c>
      <c r="BZ5" s="42" t="s">
        <v>238</v>
      </c>
      <c r="CA5" s="42"/>
      <c r="CB5" s="42" t="s">
        <v>845</v>
      </c>
      <c r="CC5" s="49" t="s">
        <v>837</v>
      </c>
      <c r="CD5" s="40" t="s">
        <v>95</v>
      </c>
      <c r="CE5" s="40" t="s">
        <v>94</v>
      </c>
      <c r="CF5" s="40"/>
      <c r="CG5" s="40"/>
      <c r="CH5" s="3" t="s">
        <v>42</v>
      </c>
      <c r="CI5" s="35" t="s">
        <v>205</v>
      </c>
      <c r="CJ5" s="35" t="s">
        <v>204</v>
      </c>
      <c r="CK5" s="37" t="s">
        <v>196</v>
      </c>
      <c r="CL5" s="37"/>
      <c r="CM5" s="43" t="s">
        <v>28</v>
      </c>
    </row>
    <row r="6" spans="1:91" s="23" customFormat="1" x14ac:dyDescent="0.35">
      <c r="A6" s="136">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0"/>
      <c r="BY6" s="41" t="s">
        <v>229</v>
      </c>
      <c r="BZ6" s="42" t="s">
        <v>238</v>
      </c>
      <c r="CA6" s="42"/>
      <c r="CB6" s="42" t="s">
        <v>845</v>
      </c>
      <c r="CC6" s="49" t="s">
        <v>837</v>
      </c>
      <c r="CD6" s="40" t="s">
        <v>95</v>
      </c>
      <c r="CE6" s="40" t="s">
        <v>94</v>
      </c>
      <c r="CF6" s="40"/>
      <c r="CG6" s="40"/>
      <c r="CH6" s="3"/>
      <c r="CI6" s="35" t="s">
        <v>205</v>
      </c>
      <c r="CJ6" s="35" t="s">
        <v>204</v>
      </c>
      <c r="CK6" s="37" t="s">
        <v>196</v>
      </c>
      <c r="CL6" s="37" t="s">
        <v>708</v>
      </c>
      <c r="CM6" s="43" t="s">
        <v>219</v>
      </c>
    </row>
    <row r="7" spans="1:91" s="23" customFormat="1" x14ac:dyDescent="0.35">
      <c r="A7" s="136">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0"/>
      <c r="BY7" s="41" t="s">
        <v>229</v>
      </c>
      <c r="BZ7" s="42" t="s">
        <v>238</v>
      </c>
      <c r="CA7" s="42"/>
      <c r="CB7" s="42" t="s">
        <v>845</v>
      </c>
      <c r="CC7" s="49" t="s">
        <v>837</v>
      </c>
      <c r="CD7" s="40" t="s">
        <v>95</v>
      </c>
      <c r="CE7" s="40" t="s">
        <v>94</v>
      </c>
      <c r="CF7" s="40"/>
      <c r="CG7" s="40"/>
      <c r="CH7" s="3" t="s">
        <v>43</v>
      </c>
      <c r="CI7" s="35" t="s">
        <v>205</v>
      </c>
      <c r="CJ7" s="35" t="s">
        <v>204</v>
      </c>
      <c r="CK7" s="37" t="s">
        <v>196</v>
      </c>
      <c r="CL7" s="37" t="s">
        <v>709</v>
      </c>
      <c r="CM7" s="43" t="s">
        <v>216</v>
      </c>
    </row>
    <row r="8" spans="1:91" s="23" customFormat="1" x14ac:dyDescent="0.35">
      <c r="A8" s="136">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0"/>
      <c r="BY8" s="41" t="s">
        <v>229</v>
      </c>
      <c r="BZ8" s="42" t="s">
        <v>238</v>
      </c>
      <c r="CA8" s="42"/>
      <c r="CB8" s="42" t="s">
        <v>845</v>
      </c>
      <c r="CC8" s="49" t="s">
        <v>837</v>
      </c>
      <c r="CD8" s="40" t="s">
        <v>96</v>
      </c>
      <c r="CE8" s="40" t="s">
        <v>97</v>
      </c>
      <c r="CF8" s="40"/>
      <c r="CG8" s="40"/>
      <c r="CH8" s="3"/>
      <c r="CI8" s="35" t="s">
        <v>205</v>
      </c>
      <c r="CJ8" s="35" t="s">
        <v>204</v>
      </c>
      <c r="CK8" s="37" t="s">
        <v>196</v>
      </c>
      <c r="CL8" s="37" t="s">
        <v>710</v>
      </c>
      <c r="CM8" s="43" t="s">
        <v>217</v>
      </c>
    </row>
    <row r="9" spans="1:91" s="23" customFormat="1" x14ac:dyDescent="0.35">
      <c r="A9" s="136">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0"/>
      <c r="BY9" s="41" t="s">
        <v>229</v>
      </c>
      <c r="BZ9" s="42" t="s">
        <v>238</v>
      </c>
      <c r="CA9" s="42"/>
      <c r="CB9" s="42" t="s">
        <v>845</v>
      </c>
      <c r="CC9" s="49" t="s">
        <v>837</v>
      </c>
      <c r="CD9" s="40" t="s">
        <v>95</v>
      </c>
      <c r="CE9" s="40" t="s">
        <v>94</v>
      </c>
      <c r="CF9" s="40"/>
      <c r="CG9" s="40"/>
      <c r="CH9" s="3"/>
      <c r="CI9" s="35" t="s">
        <v>205</v>
      </c>
      <c r="CJ9" s="35" t="s">
        <v>204</v>
      </c>
      <c r="CK9" s="37" t="s">
        <v>196</v>
      </c>
      <c r="CL9" s="37" t="s">
        <v>711</v>
      </c>
      <c r="CM9" s="43" t="s">
        <v>49</v>
      </c>
    </row>
    <row r="10" spans="1:91" s="23" customFormat="1" x14ac:dyDescent="0.35">
      <c r="A10" s="136">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0"/>
      <c r="BY10" s="41" t="s">
        <v>229</v>
      </c>
      <c r="BZ10" s="42" t="s">
        <v>238</v>
      </c>
      <c r="CA10" s="42"/>
      <c r="CB10" s="42" t="s">
        <v>845</v>
      </c>
      <c r="CC10" s="49" t="s">
        <v>837</v>
      </c>
      <c r="CD10" s="40" t="s">
        <v>96</v>
      </c>
      <c r="CE10" s="40" t="s">
        <v>97</v>
      </c>
      <c r="CF10" s="40"/>
      <c r="CG10" s="40"/>
      <c r="CH10" s="3"/>
      <c r="CI10" s="35" t="s">
        <v>205</v>
      </c>
      <c r="CJ10" s="35" t="s">
        <v>204</v>
      </c>
      <c r="CK10" s="37" t="s">
        <v>200</v>
      </c>
      <c r="CL10" s="37" t="s">
        <v>711</v>
      </c>
      <c r="CM10" s="51" t="s">
        <v>218</v>
      </c>
    </row>
    <row r="11" spans="1:91" s="23" customFormat="1" x14ac:dyDescent="0.35">
      <c r="A11" s="136">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0"/>
      <c r="BY11" s="41" t="s">
        <v>229</v>
      </c>
      <c r="BZ11" s="42" t="s">
        <v>238</v>
      </c>
      <c r="CA11" s="42"/>
      <c r="CB11" s="42" t="s">
        <v>845</v>
      </c>
      <c r="CC11" s="49" t="s">
        <v>837</v>
      </c>
      <c r="CD11" s="40" t="s">
        <v>96</v>
      </c>
      <c r="CE11" s="40" t="s">
        <v>97</v>
      </c>
      <c r="CF11" s="40"/>
      <c r="CG11" s="40"/>
      <c r="CH11" s="3"/>
      <c r="CI11" s="35" t="s">
        <v>205</v>
      </c>
      <c r="CJ11" s="35" t="s">
        <v>204</v>
      </c>
      <c r="CK11" s="37" t="s">
        <v>196</v>
      </c>
      <c r="CL11" s="37" t="s">
        <v>712</v>
      </c>
      <c r="CM11" s="51" t="s">
        <v>106</v>
      </c>
    </row>
    <row r="12" spans="1:91" s="23" customFormat="1" x14ac:dyDescent="0.35">
      <c r="A12" s="136">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0"/>
      <c r="BY12" s="41" t="s">
        <v>229</v>
      </c>
      <c r="BZ12" s="42" t="s">
        <v>238</v>
      </c>
      <c r="CA12" s="42"/>
      <c r="CB12" s="42" t="s">
        <v>845</v>
      </c>
      <c r="CC12" s="49" t="s">
        <v>837</v>
      </c>
      <c r="CD12" s="40" t="s">
        <v>95</v>
      </c>
      <c r="CE12" s="40" t="s">
        <v>94</v>
      </c>
      <c r="CF12" s="40"/>
      <c r="CG12" s="40"/>
      <c r="CH12" s="3"/>
      <c r="CI12" s="35" t="s">
        <v>205</v>
      </c>
      <c r="CJ12" s="35" t="s">
        <v>204</v>
      </c>
      <c r="CK12" s="37" t="s">
        <v>196</v>
      </c>
      <c r="CL12" s="37" t="s">
        <v>712</v>
      </c>
      <c r="CM12" s="51" t="s">
        <v>107</v>
      </c>
    </row>
    <row r="13" spans="1:91" s="23" customFormat="1" x14ac:dyDescent="0.35">
      <c r="A13" s="136">
        <v>11</v>
      </c>
      <c r="B13" s="23">
        <v>9</v>
      </c>
      <c r="C13" s="34" t="s">
        <v>63</v>
      </c>
      <c r="D13" s="34" t="s">
        <v>88</v>
      </c>
      <c r="E13" s="35" t="s">
        <v>44</v>
      </c>
      <c r="F13" s="90">
        <v>34</v>
      </c>
      <c r="G13" s="35">
        <v>4800993</v>
      </c>
      <c r="H13" s="35" t="s">
        <v>828</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40"/>
      <c r="BN13" s="38"/>
      <c r="BO13" s="38"/>
      <c r="BP13" s="40"/>
      <c r="BQ13" s="40"/>
      <c r="BR13" s="40"/>
      <c r="BS13" s="40"/>
      <c r="BT13" s="40"/>
      <c r="BU13" s="40"/>
      <c r="BV13" s="40"/>
      <c r="BW13" s="40"/>
      <c r="BX13" s="40"/>
      <c r="BY13" s="41" t="s">
        <v>229</v>
      </c>
      <c r="BZ13" s="42" t="s">
        <v>238</v>
      </c>
      <c r="CA13" s="42"/>
      <c r="CB13" s="42" t="s">
        <v>845</v>
      </c>
      <c r="CC13" s="49" t="s">
        <v>837</v>
      </c>
      <c r="CD13" s="38" t="s">
        <v>98</v>
      </c>
      <c r="CE13" s="38" t="s">
        <v>99</v>
      </c>
      <c r="CF13" s="38"/>
      <c r="CG13" s="38"/>
      <c r="CH13" s="3" t="s">
        <v>67</v>
      </c>
      <c r="CI13" s="35" t="s">
        <v>205</v>
      </c>
      <c r="CJ13" s="35" t="s">
        <v>204</v>
      </c>
      <c r="CK13" s="37" t="s">
        <v>198</v>
      </c>
      <c r="CL13" s="141" t="s">
        <v>713</v>
      </c>
      <c r="CM13" s="52" t="s">
        <v>241</v>
      </c>
    </row>
    <row r="14" spans="1:91" s="23" customFormat="1" x14ac:dyDescent="0.35">
      <c r="A14" s="136">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0"/>
      <c r="BY14" s="41" t="s">
        <v>229</v>
      </c>
      <c r="BZ14" s="42" t="s">
        <v>238</v>
      </c>
      <c r="CA14" s="42"/>
      <c r="CB14" s="42" t="s">
        <v>845</v>
      </c>
      <c r="CC14" s="49" t="s">
        <v>837</v>
      </c>
      <c r="CD14" s="40" t="s">
        <v>96</v>
      </c>
      <c r="CE14" s="40" t="s">
        <v>97</v>
      </c>
      <c r="CF14" s="40"/>
      <c r="CG14" s="40"/>
      <c r="CH14" s="3"/>
      <c r="CI14" s="35" t="s">
        <v>205</v>
      </c>
      <c r="CJ14" s="35" t="s">
        <v>204</v>
      </c>
      <c r="CK14" s="37" t="s">
        <v>196</v>
      </c>
      <c r="CL14" s="37" t="s">
        <v>711</v>
      </c>
      <c r="CM14" s="43" t="s">
        <v>91</v>
      </c>
    </row>
    <row r="15" spans="1:91" s="23" customFormat="1" x14ac:dyDescent="0.35">
      <c r="A15" s="136">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0"/>
      <c r="BY15" s="41" t="s">
        <v>229</v>
      </c>
      <c r="BZ15" s="42" t="s">
        <v>238</v>
      </c>
      <c r="CA15" s="42"/>
      <c r="CB15" s="42" t="s">
        <v>845</v>
      </c>
      <c r="CC15" s="49" t="s">
        <v>837</v>
      </c>
      <c r="CD15" s="40" t="s">
        <v>96</v>
      </c>
      <c r="CE15" s="40" t="s">
        <v>97</v>
      </c>
      <c r="CF15" s="40"/>
      <c r="CG15" s="40"/>
      <c r="CH15" s="3"/>
      <c r="CI15" s="35" t="s">
        <v>205</v>
      </c>
      <c r="CJ15" s="35" t="s">
        <v>204</v>
      </c>
      <c r="CK15" s="37" t="s">
        <v>196</v>
      </c>
      <c r="CL15" s="140" t="s">
        <v>714</v>
      </c>
      <c r="CM15" s="43" t="s">
        <v>220</v>
      </c>
    </row>
    <row r="16" spans="1:91" s="23" customFormat="1" ht="15" thickBot="1" x14ac:dyDescent="0.4">
      <c r="A16" s="136">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40"/>
      <c r="BN16" s="38"/>
      <c r="BO16" s="38"/>
      <c r="BP16" s="40"/>
      <c r="BQ16" s="40"/>
      <c r="BR16" s="40"/>
      <c r="BS16" s="40"/>
      <c r="BT16" s="40"/>
      <c r="BU16" s="40"/>
      <c r="BV16" s="40"/>
      <c r="BW16" s="40"/>
      <c r="BX16" s="40"/>
      <c r="BY16" s="41" t="s">
        <v>229</v>
      </c>
      <c r="BZ16" s="42" t="s">
        <v>238</v>
      </c>
      <c r="CA16" s="42"/>
      <c r="CB16" s="42" t="s">
        <v>845</v>
      </c>
      <c r="CC16" s="49" t="s">
        <v>837</v>
      </c>
      <c r="CD16" s="38" t="s">
        <v>98</v>
      </c>
      <c r="CE16" s="38" t="s">
        <v>99</v>
      </c>
      <c r="CF16" s="92" t="s">
        <v>136</v>
      </c>
      <c r="CG16" s="38"/>
      <c r="CH16" s="3"/>
      <c r="CI16" s="35" t="s">
        <v>205</v>
      </c>
      <c r="CJ16" s="35" t="s">
        <v>204</v>
      </c>
      <c r="CK16" s="37" t="s">
        <v>196</v>
      </c>
      <c r="CL16" s="37" t="s">
        <v>715</v>
      </c>
      <c r="CM16" s="43" t="s">
        <v>222</v>
      </c>
    </row>
    <row r="17" spans="1:91" s="23" customFormat="1" ht="15" thickBot="1" x14ac:dyDescent="0.4">
      <c r="A17" s="136">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0"/>
      <c r="BY17" s="41" t="s">
        <v>229</v>
      </c>
      <c r="BZ17" s="42" t="s">
        <v>238</v>
      </c>
      <c r="CA17" s="42"/>
      <c r="CB17" s="42" t="s">
        <v>845</v>
      </c>
      <c r="CC17" s="49" t="s">
        <v>837</v>
      </c>
      <c r="CD17" s="40" t="s">
        <v>95</v>
      </c>
      <c r="CE17" s="38" t="s">
        <v>104</v>
      </c>
      <c r="CF17" s="92" t="s">
        <v>136</v>
      </c>
      <c r="CG17" s="38"/>
      <c r="CH17" s="3"/>
      <c r="CI17" s="35" t="s">
        <v>205</v>
      </c>
      <c r="CJ17" s="35" t="s">
        <v>204</v>
      </c>
      <c r="CK17" s="37" t="s">
        <v>196</v>
      </c>
      <c r="CL17" s="37" t="s">
        <v>716</v>
      </c>
      <c r="CM17" s="43" t="s">
        <v>125</v>
      </c>
    </row>
    <row r="18" spans="1:91"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15"/>
      <c r="BN18" s="22"/>
      <c r="BO18" s="22"/>
      <c r="BP18" s="15"/>
      <c r="BQ18" s="15"/>
      <c r="BR18" s="15"/>
      <c r="BS18" s="15"/>
      <c r="BT18" s="15"/>
      <c r="BU18" s="15"/>
      <c r="BV18" s="15"/>
      <c r="BW18" s="15"/>
      <c r="BX18" s="15"/>
      <c r="BY18" s="10" t="s">
        <v>229</v>
      </c>
      <c r="BZ18" s="17" t="s">
        <v>238</v>
      </c>
      <c r="CA18" s="17"/>
      <c r="CB18" s="17" t="s">
        <v>845</v>
      </c>
      <c r="CC18" s="49" t="s">
        <v>837</v>
      </c>
      <c r="CD18" s="22" t="s">
        <v>98</v>
      </c>
      <c r="CE18" s="22" t="s">
        <v>99</v>
      </c>
      <c r="CF18" s="22"/>
      <c r="CG18" s="22"/>
      <c r="CH18" s="2" t="s">
        <v>120</v>
      </c>
      <c r="CI18" s="14" t="s">
        <v>205</v>
      </c>
      <c r="CJ18" s="14" t="s">
        <v>204</v>
      </c>
      <c r="CK18" s="18" t="s">
        <v>196</v>
      </c>
      <c r="CL18" s="18" t="s">
        <v>716</v>
      </c>
      <c r="CM18" s="21" t="s">
        <v>128</v>
      </c>
    </row>
    <row r="19" spans="1:91"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53"/>
      <c r="BP19" s="15"/>
      <c r="BQ19" s="15"/>
      <c r="BR19" s="15"/>
      <c r="BS19" s="15"/>
      <c r="BT19" s="15"/>
      <c r="BU19" s="15"/>
      <c r="BV19" s="15"/>
      <c r="BW19" s="15"/>
      <c r="BX19" s="15"/>
      <c r="BY19" s="10" t="s">
        <v>229</v>
      </c>
      <c r="BZ19" s="17" t="s">
        <v>238</v>
      </c>
      <c r="CA19" s="17"/>
      <c r="CB19" s="17" t="s">
        <v>845</v>
      </c>
      <c r="CC19" s="49" t="s">
        <v>837</v>
      </c>
      <c r="CD19" s="54" t="s">
        <v>117</v>
      </c>
      <c r="CE19" s="54" t="s">
        <v>118</v>
      </c>
      <c r="CF19" s="22"/>
      <c r="CG19" s="22"/>
      <c r="CH19" s="2"/>
      <c r="CI19" s="14" t="s">
        <v>205</v>
      </c>
      <c r="CJ19" s="14" t="s">
        <v>206</v>
      </c>
      <c r="CK19" s="18" t="s">
        <v>196</v>
      </c>
      <c r="CL19" s="18" t="s">
        <v>716</v>
      </c>
      <c r="CM19" s="21" t="s">
        <v>132</v>
      </c>
    </row>
    <row r="20" spans="1:91"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15"/>
      <c r="BN20" s="22"/>
      <c r="BO20" s="22"/>
      <c r="BP20" s="15"/>
      <c r="BQ20" s="15"/>
      <c r="BR20" s="15"/>
      <c r="BS20" s="15"/>
      <c r="BT20" s="15"/>
      <c r="BU20" s="15"/>
      <c r="BV20" s="15"/>
      <c r="BW20" s="15"/>
      <c r="BX20" s="15"/>
      <c r="BY20" s="10" t="s">
        <v>229</v>
      </c>
      <c r="BZ20" s="17" t="s">
        <v>238</v>
      </c>
      <c r="CA20" s="17"/>
      <c r="CB20" s="17" t="s">
        <v>845</v>
      </c>
      <c r="CC20" s="49" t="s">
        <v>837</v>
      </c>
      <c r="CD20" s="22" t="s">
        <v>98</v>
      </c>
      <c r="CE20" s="22" t="s">
        <v>99</v>
      </c>
      <c r="CF20" s="92" t="s">
        <v>136</v>
      </c>
      <c r="CG20" s="22"/>
      <c r="CH20" s="2"/>
      <c r="CI20" s="14" t="s">
        <v>205</v>
      </c>
      <c r="CJ20" s="14" t="s">
        <v>204</v>
      </c>
      <c r="CK20" s="18" t="s">
        <v>196</v>
      </c>
      <c r="CL20" s="139" t="s">
        <v>691</v>
      </c>
      <c r="CM20" s="21" t="s">
        <v>223</v>
      </c>
    </row>
    <row r="21" spans="1:91"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15"/>
      <c r="BN21" s="22"/>
      <c r="BO21" s="22"/>
      <c r="BP21" s="15"/>
      <c r="BQ21" s="15"/>
      <c r="BR21" s="15"/>
      <c r="BS21" s="15"/>
      <c r="BT21" s="15"/>
      <c r="BU21" s="15"/>
      <c r="BV21" s="15"/>
      <c r="BW21" s="15"/>
      <c r="BX21" s="15"/>
      <c r="BY21" s="10" t="s">
        <v>229</v>
      </c>
      <c r="BZ21" s="17" t="s">
        <v>238</v>
      </c>
      <c r="CA21" s="17"/>
      <c r="CB21" s="17" t="s">
        <v>845</v>
      </c>
      <c r="CC21" s="49" t="s">
        <v>837</v>
      </c>
      <c r="CD21" s="22" t="s">
        <v>98</v>
      </c>
      <c r="CE21" s="22" t="s">
        <v>99</v>
      </c>
      <c r="CF21" s="92" t="s">
        <v>137</v>
      </c>
      <c r="CG21" s="22"/>
      <c r="CH21" s="2"/>
      <c r="CI21" s="14" t="s">
        <v>205</v>
      </c>
      <c r="CJ21" s="14" t="s">
        <v>204</v>
      </c>
      <c r="CK21" s="18" t="s">
        <v>196</v>
      </c>
      <c r="CL21" s="18" t="s">
        <v>717</v>
      </c>
      <c r="CM21" s="21" t="s">
        <v>166</v>
      </c>
    </row>
    <row r="22" spans="1:91"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15"/>
      <c r="BN22" s="22"/>
      <c r="BO22" s="22"/>
      <c r="BP22" s="15"/>
      <c r="BQ22" s="15"/>
      <c r="BR22" s="15"/>
      <c r="BS22" s="15"/>
      <c r="BT22" s="15"/>
      <c r="BU22" s="15"/>
      <c r="BV22" s="15"/>
      <c r="BW22" s="15"/>
      <c r="BX22" s="15"/>
      <c r="BY22" s="10" t="s">
        <v>229</v>
      </c>
      <c r="BZ22" s="17" t="s">
        <v>238</v>
      </c>
      <c r="CA22" s="17"/>
      <c r="CB22" s="17" t="s">
        <v>845</v>
      </c>
      <c r="CC22" s="49" t="s">
        <v>837</v>
      </c>
      <c r="CD22" s="22" t="s">
        <v>98</v>
      </c>
      <c r="CE22" s="22" t="s">
        <v>99</v>
      </c>
      <c r="CF22" s="92" t="s">
        <v>136</v>
      </c>
      <c r="CG22" s="22"/>
      <c r="CH22" s="2"/>
      <c r="CI22" s="14" t="s">
        <v>205</v>
      </c>
      <c r="CJ22" s="14" t="s">
        <v>204</v>
      </c>
      <c r="CK22" s="18" t="s">
        <v>196</v>
      </c>
      <c r="CL22" s="18" t="s">
        <v>718</v>
      </c>
      <c r="CM22" s="21" t="s">
        <v>153</v>
      </c>
    </row>
    <row r="23" spans="1:91"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15"/>
      <c r="BN23" s="22"/>
      <c r="BO23" s="22"/>
      <c r="BP23" s="15"/>
      <c r="BQ23" s="15"/>
      <c r="BR23" s="15"/>
      <c r="BS23" s="15"/>
      <c r="BT23" s="15"/>
      <c r="BU23" s="15"/>
      <c r="BV23" s="15"/>
      <c r="BW23" s="15"/>
      <c r="BX23" s="15"/>
      <c r="BY23" s="10" t="s">
        <v>229</v>
      </c>
      <c r="BZ23" s="17" t="s">
        <v>238</v>
      </c>
      <c r="CA23" s="17"/>
      <c r="CB23" s="17" t="s">
        <v>845</v>
      </c>
      <c r="CC23" s="49" t="s">
        <v>837</v>
      </c>
      <c r="CD23" s="22" t="s">
        <v>98</v>
      </c>
      <c r="CE23" s="22" t="s">
        <v>99</v>
      </c>
      <c r="CF23" s="92" t="s">
        <v>137</v>
      </c>
      <c r="CG23" s="22"/>
      <c r="CH23" s="2"/>
      <c r="CI23" s="14" t="s">
        <v>205</v>
      </c>
      <c r="CJ23" s="14" t="s">
        <v>204</v>
      </c>
      <c r="CK23" s="18" t="s">
        <v>201</v>
      </c>
      <c r="CL23" s="139" t="s">
        <v>719</v>
      </c>
      <c r="CM23" s="21" t="s">
        <v>172</v>
      </c>
    </row>
    <row r="24" spans="1:91" s="9" customFormat="1" x14ac:dyDescent="0.35">
      <c r="A24" s="124">
        <v>21</v>
      </c>
      <c r="B24" s="9">
        <v>6</v>
      </c>
      <c r="C24" s="20" t="s">
        <v>155</v>
      </c>
      <c r="D24" s="20" t="s">
        <v>160</v>
      </c>
      <c r="E24" s="14" t="s">
        <v>35</v>
      </c>
      <c r="F24" s="90">
        <v>40</v>
      </c>
      <c r="G24" s="14">
        <v>4800994</v>
      </c>
      <c r="H24" s="14" t="s">
        <v>828</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5"/>
      <c r="BY24" s="10" t="s">
        <v>229</v>
      </c>
      <c r="BZ24" s="17" t="s">
        <v>238</v>
      </c>
      <c r="CA24" s="17"/>
      <c r="CB24" s="17" t="s">
        <v>845</v>
      </c>
      <c r="CC24" s="49" t="s">
        <v>837</v>
      </c>
      <c r="CD24" s="15" t="s">
        <v>95</v>
      </c>
      <c r="CE24" s="22" t="s">
        <v>104</v>
      </c>
      <c r="CF24" s="22"/>
      <c r="CG24" s="22"/>
      <c r="CH24" s="2"/>
      <c r="CI24" s="14" t="s">
        <v>209</v>
      </c>
      <c r="CJ24" s="14" t="s">
        <v>204</v>
      </c>
      <c r="CK24" s="18" t="s">
        <v>208</v>
      </c>
      <c r="CL24" s="138" t="s">
        <v>717</v>
      </c>
      <c r="CM24" s="50" t="s">
        <v>242</v>
      </c>
    </row>
    <row r="25" spans="1:91"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5"/>
      <c r="BY25" s="10" t="s">
        <v>229</v>
      </c>
      <c r="BZ25" s="17" t="s">
        <v>238</v>
      </c>
      <c r="CA25" s="17"/>
      <c r="CB25" s="17" t="s">
        <v>845</v>
      </c>
      <c r="CC25" s="49" t="s">
        <v>837</v>
      </c>
      <c r="CD25" s="54" t="s">
        <v>117</v>
      </c>
      <c r="CE25" s="54" t="s">
        <v>118</v>
      </c>
      <c r="CF25" s="92" t="s">
        <v>136</v>
      </c>
      <c r="CG25" s="22"/>
      <c r="CH25" s="2"/>
      <c r="CI25" s="14" t="s">
        <v>205</v>
      </c>
      <c r="CJ25" s="14" t="s">
        <v>204</v>
      </c>
      <c r="CK25" s="18" t="s">
        <v>199</v>
      </c>
      <c r="CL25" s="139" t="s">
        <v>734</v>
      </c>
      <c r="CM25" s="21" t="s">
        <v>693</v>
      </c>
    </row>
    <row r="26" spans="1:91"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5"/>
      <c r="BY26" s="10" t="s">
        <v>229</v>
      </c>
      <c r="BZ26" s="17" t="s">
        <v>238</v>
      </c>
      <c r="CA26" s="17"/>
      <c r="CB26" s="17" t="s">
        <v>845</v>
      </c>
      <c r="CC26" s="49" t="s">
        <v>837</v>
      </c>
      <c r="CD26" s="22" t="s">
        <v>98</v>
      </c>
      <c r="CE26" s="22" t="s">
        <v>99</v>
      </c>
      <c r="CF26" s="92" t="s">
        <v>137</v>
      </c>
      <c r="CG26" s="22"/>
      <c r="CH26" s="2"/>
      <c r="CI26" s="14" t="s">
        <v>205</v>
      </c>
      <c r="CJ26" s="14" t="s">
        <v>204</v>
      </c>
      <c r="CK26" s="18" t="s">
        <v>199</v>
      </c>
      <c r="CL26" s="18" t="s">
        <v>718</v>
      </c>
      <c r="CM26" s="21" t="s">
        <v>178</v>
      </c>
    </row>
    <row r="27" spans="1:91" s="9" customFormat="1" x14ac:dyDescent="0.35">
      <c r="A27" s="124">
        <v>24</v>
      </c>
      <c r="B27" s="9">
        <v>9</v>
      </c>
      <c r="C27" s="20" t="s">
        <v>173</v>
      </c>
      <c r="D27" s="20" t="s">
        <v>180</v>
      </c>
      <c r="E27" s="14" t="s">
        <v>35</v>
      </c>
      <c r="F27" s="90">
        <v>43</v>
      </c>
      <c r="G27" s="14">
        <v>4800994</v>
      </c>
      <c r="H27" s="14" t="s">
        <v>828</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5"/>
      <c r="BY27" s="10" t="s">
        <v>229</v>
      </c>
      <c r="BZ27" s="17" t="s">
        <v>238</v>
      </c>
      <c r="CA27" s="17"/>
      <c r="CB27" s="17" t="s">
        <v>845</v>
      </c>
      <c r="CC27" s="49" t="s">
        <v>837</v>
      </c>
      <c r="CD27" s="15" t="s">
        <v>95</v>
      </c>
      <c r="CE27" s="22" t="s">
        <v>104</v>
      </c>
      <c r="CF27" s="22"/>
      <c r="CG27" s="22"/>
      <c r="CH27" s="2"/>
      <c r="CI27" s="14" t="s">
        <v>209</v>
      </c>
      <c r="CJ27" s="14" t="s">
        <v>204</v>
      </c>
      <c r="CK27" s="18" t="s">
        <v>207</v>
      </c>
      <c r="CL27" s="138" t="s">
        <v>717</v>
      </c>
      <c r="CM27" s="50" t="s">
        <v>243</v>
      </c>
    </row>
    <row r="28" spans="1:91"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5"/>
      <c r="BY28" s="10" t="s">
        <v>229</v>
      </c>
      <c r="BZ28" s="49" t="s">
        <v>170</v>
      </c>
      <c r="CA28" s="17"/>
      <c r="CB28" s="17" t="s">
        <v>845</v>
      </c>
      <c r="CC28" s="49" t="s">
        <v>837</v>
      </c>
      <c r="CD28" s="15" t="s">
        <v>98</v>
      </c>
      <c r="CE28" s="22" t="s">
        <v>99</v>
      </c>
      <c r="CF28" s="92" t="s">
        <v>136</v>
      </c>
      <c r="CG28" s="22"/>
      <c r="CH28" s="2"/>
      <c r="CI28" s="14" t="s">
        <v>205</v>
      </c>
      <c r="CJ28" s="14" t="s">
        <v>204</v>
      </c>
      <c r="CK28" s="18" t="s">
        <v>196</v>
      </c>
      <c r="CL28" s="18" t="s">
        <v>711</v>
      </c>
      <c r="CM28" s="21" t="s">
        <v>190</v>
      </c>
    </row>
    <row r="29" spans="1:91"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5"/>
      <c r="BY29" s="10" t="s">
        <v>229</v>
      </c>
      <c r="BZ29" s="49" t="s">
        <v>170</v>
      </c>
      <c r="CA29" s="17"/>
      <c r="CB29" s="17" t="s">
        <v>845</v>
      </c>
      <c r="CC29" s="49" t="s">
        <v>837</v>
      </c>
      <c r="CD29" s="22" t="s">
        <v>117</v>
      </c>
      <c r="CE29" s="22" t="s">
        <v>118</v>
      </c>
      <c r="CF29" s="22"/>
      <c r="CG29" s="22"/>
      <c r="CH29" s="2"/>
      <c r="CI29" s="14" t="s">
        <v>205</v>
      </c>
      <c r="CJ29" s="14" t="s">
        <v>204</v>
      </c>
      <c r="CK29" s="18" t="s">
        <v>196</v>
      </c>
      <c r="CL29" s="18"/>
      <c r="CM29" s="21" t="s">
        <v>185</v>
      </c>
    </row>
    <row r="30" spans="1:91"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5"/>
      <c r="BY30" s="10" t="s">
        <v>229</v>
      </c>
      <c r="BZ30" s="17" t="s">
        <v>238</v>
      </c>
      <c r="CA30" s="17"/>
      <c r="CB30" s="17" t="s">
        <v>845</v>
      </c>
      <c r="CC30" s="49" t="s">
        <v>837</v>
      </c>
      <c r="CD30" s="15" t="s">
        <v>95</v>
      </c>
      <c r="CE30" s="15" t="s">
        <v>104</v>
      </c>
      <c r="CF30" s="92" t="s">
        <v>137</v>
      </c>
      <c r="CG30" s="22"/>
      <c r="CH30" s="2"/>
      <c r="CI30" s="14" t="s">
        <v>205</v>
      </c>
      <c r="CJ30" s="14" t="s">
        <v>204</v>
      </c>
      <c r="CK30" s="18" t="s">
        <v>196</v>
      </c>
      <c r="CL30" s="18" t="s">
        <v>711</v>
      </c>
      <c r="CM30" s="21" t="s">
        <v>195</v>
      </c>
    </row>
    <row r="31" spans="1:91"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5"/>
      <c r="BY31" s="10" t="s">
        <v>229</v>
      </c>
      <c r="BZ31" s="17" t="s">
        <v>249</v>
      </c>
      <c r="CA31" s="17"/>
      <c r="CB31" s="17" t="s">
        <v>845</v>
      </c>
      <c r="CC31" s="49" t="s">
        <v>837</v>
      </c>
      <c r="CD31" s="22" t="s">
        <v>117</v>
      </c>
      <c r="CE31" s="22" t="s">
        <v>118</v>
      </c>
      <c r="CF31" s="92" t="s">
        <v>136</v>
      </c>
      <c r="CG31" s="22"/>
      <c r="CH31" s="2"/>
      <c r="CI31" s="14" t="s">
        <v>205</v>
      </c>
      <c r="CJ31" s="14" t="s">
        <v>204</v>
      </c>
      <c r="CK31" s="18" t="s">
        <v>196</v>
      </c>
      <c r="CL31" s="18" t="s">
        <v>692</v>
      </c>
      <c r="CM31" s="21" t="s">
        <v>226</v>
      </c>
    </row>
    <row r="32" spans="1:91"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5"/>
      <c r="BY32" s="10" t="s">
        <v>228</v>
      </c>
      <c r="BZ32" s="17" t="s">
        <v>249</v>
      </c>
      <c r="CA32" s="17"/>
      <c r="CB32" s="17" t="s">
        <v>845</v>
      </c>
      <c r="CC32" s="49" t="s">
        <v>837</v>
      </c>
      <c r="CD32" s="15" t="s">
        <v>95</v>
      </c>
      <c r="CE32" s="22" t="s">
        <v>104</v>
      </c>
      <c r="CF32" s="92" t="s">
        <v>137</v>
      </c>
      <c r="CG32" s="22"/>
      <c r="CH32" s="2"/>
      <c r="CI32" s="14" t="s">
        <v>205</v>
      </c>
      <c r="CJ32" s="14" t="s">
        <v>204</v>
      </c>
      <c r="CK32" s="18" t="s">
        <v>232</v>
      </c>
      <c r="CL32" s="18"/>
      <c r="CM32" s="21" t="s">
        <v>233</v>
      </c>
    </row>
    <row r="33" spans="1:91"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0"/>
      <c r="BY33" s="41"/>
      <c r="BZ33" s="42"/>
      <c r="CA33" s="42"/>
      <c r="CB33" s="42" t="s">
        <v>845</v>
      </c>
      <c r="CC33" s="49" t="s">
        <v>837</v>
      </c>
      <c r="CD33" s="40"/>
      <c r="CE33" s="38"/>
      <c r="CF33" s="38"/>
      <c r="CG33" s="38"/>
      <c r="CH33" s="3"/>
      <c r="CI33" s="35"/>
      <c r="CJ33" s="35"/>
      <c r="CK33" s="37"/>
      <c r="CL33" s="37"/>
      <c r="CM33" s="43"/>
    </row>
    <row r="34" spans="1:91" s="23" customFormat="1" x14ac:dyDescent="0.35">
      <c r="A34" s="124"/>
      <c r="C34" s="47" t="s">
        <v>247</v>
      </c>
      <c r="D34" s="34"/>
      <c r="E34" s="35"/>
      <c r="F34" s="35"/>
      <c r="G34" s="35"/>
      <c r="H34" s="35" t="s">
        <v>828</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0"/>
      <c r="BY34" s="41"/>
      <c r="BZ34" s="42"/>
      <c r="CA34" s="42"/>
      <c r="CB34" s="42" t="s">
        <v>845</v>
      </c>
      <c r="CC34" s="49" t="s">
        <v>837</v>
      </c>
      <c r="CD34" s="40"/>
      <c r="CE34" s="38"/>
      <c r="CF34" s="38"/>
      <c r="CG34" s="38"/>
      <c r="CH34" s="3"/>
      <c r="CI34" s="35"/>
      <c r="CJ34" s="35"/>
      <c r="CK34" s="37"/>
      <c r="CL34" s="37"/>
      <c r="CM34" s="43"/>
    </row>
    <row r="35" spans="1:91"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0"/>
      <c r="BY35" s="41" t="s">
        <v>229</v>
      </c>
      <c r="BZ35" s="42" t="s">
        <v>249</v>
      </c>
      <c r="CA35" s="42"/>
      <c r="CB35" s="42" t="s">
        <v>845</v>
      </c>
      <c r="CC35" s="49" t="s">
        <v>837</v>
      </c>
      <c r="CD35" s="38" t="s">
        <v>98</v>
      </c>
      <c r="CE35" s="38" t="s">
        <v>99</v>
      </c>
      <c r="CF35" s="92" t="s">
        <v>136</v>
      </c>
      <c r="CG35" s="38"/>
      <c r="CH35" s="3"/>
      <c r="CI35" s="35" t="s">
        <v>205</v>
      </c>
      <c r="CJ35" s="35" t="s">
        <v>204</v>
      </c>
      <c r="CK35" s="37" t="s">
        <v>261</v>
      </c>
      <c r="CL35" s="37" t="s">
        <v>720</v>
      </c>
      <c r="CM35" s="43" t="s">
        <v>262</v>
      </c>
    </row>
    <row r="36" spans="1:91"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40"/>
      <c r="BN36" s="38"/>
      <c r="BO36" s="38"/>
      <c r="BP36" s="40"/>
      <c r="BQ36" s="40"/>
      <c r="BR36" s="40"/>
      <c r="BS36" s="40"/>
      <c r="BT36" s="40"/>
      <c r="BU36" s="40"/>
      <c r="BV36" s="40"/>
      <c r="BW36" s="40"/>
      <c r="BX36" s="40"/>
      <c r="BY36" s="41" t="s">
        <v>229</v>
      </c>
      <c r="BZ36" s="42" t="s">
        <v>238</v>
      </c>
      <c r="CA36" s="42"/>
      <c r="CB36" s="42" t="s">
        <v>845</v>
      </c>
      <c r="CC36" s="49" t="s">
        <v>837</v>
      </c>
      <c r="CD36" s="38" t="s">
        <v>98</v>
      </c>
      <c r="CE36" s="38" t="s">
        <v>99</v>
      </c>
      <c r="CF36" s="92" t="s">
        <v>136</v>
      </c>
      <c r="CG36" s="38"/>
      <c r="CH36" s="3" t="s">
        <v>263</v>
      </c>
      <c r="CI36" s="35" t="s">
        <v>205</v>
      </c>
      <c r="CJ36" s="35" t="s">
        <v>204</v>
      </c>
      <c r="CK36" s="37" t="s">
        <v>196</v>
      </c>
      <c r="CL36" s="37" t="s">
        <v>692</v>
      </c>
      <c r="CM36" s="43" t="s">
        <v>254</v>
      </c>
    </row>
    <row r="37" spans="1:91"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0"/>
      <c r="BY37" s="41" t="s">
        <v>229</v>
      </c>
      <c r="BZ37" s="42" t="s">
        <v>249</v>
      </c>
      <c r="CA37" s="42"/>
      <c r="CB37" s="42" t="s">
        <v>845</v>
      </c>
      <c r="CC37" s="49" t="s">
        <v>837</v>
      </c>
      <c r="CD37" s="46" t="s">
        <v>245</v>
      </c>
      <c r="CE37" s="38" t="s">
        <v>252</v>
      </c>
      <c r="CF37" s="92" t="s">
        <v>137</v>
      </c>
      <c r="CG37" s="38"/>
      <c r="CH37" s="3" t="s">
        <v>263</v>
      </c>
      <c r="CI37" s="35" t="s">
        <v>258</v>
      </c>
      <c r="CJ37" s="35" t="s">
        <v>204</v>
      </c>
      <c r="CK37" s="37" t="s">
        <v>196</v>
      </c>
      <c r="CL37" s="37" t="s">
        <v>695</v>
      </c>
      <c r="CM37" s="43" t="s">
        <v>270</v>
      </c>
    </row>
    <row r="38" spans="1:91" s="23" customFormat="1" x14ac:dyDescent="0.35">
      <c r="A38" s="124">
        <v>33</v>
      </c>
      <c r="B38" s="23">
        <v>4</v>
      </c>
      <c r="C38" s="34" t="s">
        <v>266</v>
      </c>
      <c r="D38" s="34" t="s">
        <v>272</v>
      </c>
      <c r="E38" s="35" t="s">
        <v>44</v>
      </c>
      <c r="F38" s="90">
        <v>58</v>
      </c>
      <c r="G38" s="35">
        <v>4800993</v>
      </c>
      <c r="H38" s="35" t="s">
        <v>828</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0"/>
      <c r="BY38" s="41" t="s">
        <v>228</v>
      </c>
      <c r="BZ38" s="42" t="s">
        <v>249</v>
      </c>
      <c r="CA38" s="42"/>
      <c r="CB38" s="42" t="s">
        <v>845</v>
      </c>
      <c r="CC38" s="49" t="s">
        <v>837</v>
      </c>
      <c r="CD38" s="40" t="s">
        <v>96</v>
      </c>
      <c r="CE38" s="40" t="s">
        <v>244</v>
      </c>
      <c r="CF38" s="38"/>
      <c r="CG38" s="38"/>
      <c r="CH38" s="3"/>
      <c r="CI38" s="35" t="s">
        <v>209</v>
      </c>
      <c r="CJ38" s="35" t="s">
        <v>204</v>
      </c>
      <c r="CK38" s="37" t="s">
        <v>271</v>
      </c>
      <c r="CL38" s="37"/>
      <c r="CM38" s="43" t="s">
        <v>276</v>
      </c>
    </row>
    <row r="39" spans="1:91" s="23" customFormat="1" x14ac:dyDescent="0.35">
      <c r="A39" s="124">
        <v>34</v>
      </c>
      <c r="B39" s="23">
        <v>5</v>
      </c>
      <c r="C39" s="34" t="s">
        <v>273</v>
      </c>
      <c r="D39" s="34" t="s">
        <v>279</v>
      </c>
      <c r="E39" s="35" t="s">
        <v>44</v>
      </c>
      <c r="F39" s="90">
        <v>60</v>
      </c>
      <c r="G39" s="35">
        <v>4800993</v>
      </c>
      <c r="H39" s="35" t="s">
        <v>828</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0"/>
      <c r="BY39" s="41" t="s">
        <v>228</v>
      </c>
      <c r="BZ39" s="42" t="s">
        <v>249</v>
      </c>
      <c r="CA39" s="42"/>
      <c r="CB39" s="42" t="s">
        <v>845</v>
      </c>
      <c r="CC39" s="49" t="s">
        <v>837</v>
      </c>
      <c r="CD39" s="40" t="s">
        <v>96</v>
      </c>
      <c r="CE39" s="40" t="s">
        <v>244</v>
      </c>
      <c r="CF39" s="38"/>
      <c r="CG39" s="38"/>
      <c r="CH39" s="3"/>
      <c r="CI39" s="35" t="s">
        <v>209</v>
      </c>
      <c r="CJ39" s="35" t="s">
        <v>204</v>
      </c>
      <c r="CK39" s="37" t="s">
        <v>207</v>
      </c>
      <c r="CL39" s="37"/>
      <c r="CM39" s="43" t="s">
        <v>277</v>
      </c>
    </row>
    <row r="40" spans="1:91" s="23" customFormat="1" x14ac:dyDescent="0.35">
      <c r="A40" s="124">
        <v>35</v>
      </c>
      <c r="B40" s="23">
        <v>6</v>
      </c>
      <c r="C40" s="34" t="s">
        <v>280</v>
      </c>
      <c r="D40" s="34" t="s">
        <v>289</v>
      </c>
      <c r="E40" s="35" t="s">
        <v>44</v>
      </c>
      <c r="F40" s="90">
        <v>61</v>
      </c>
      <c r="G40" s="35">
        <v>4800993</v>
      </c>
      <c r="H40" s="35" t="s">
        <v>828</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0"/>
      <c r="BY40" s="41" t="s">
        <v>228</v>
      </c>
      <c r="BZ40" s="42" t="s">
        <v>249</v>
      </c>
      <c r="CA40" s="42"/>
      <c r="CB40" s="42" t="s">
        <v>845</v>
      </c>
      <c r="CC40" s="49" t="s">
        <v>837</v>
      </c>
      <c r="CD40" s="40" t="s">
        <v>96</v>
      </c>
      <c r="CE40" s="40" t="s">
        <v>244</v>
      </c>
      <c r="CF40" s="38"/>
      <c r="CG40" s="38"/>
      <c r="CH40" s="3"/>
      <c r="CI40" s="35" t="s">
        <v>209</v>
      </c>
      <c r="CJ40" s="35" t="s">
        <v>204</v>
      </c>
      <c r="CK40" s="37" t="s">
        <v>207</v>
      </c>
      <c r="CL40" s="37" t="s">
        <v>721</v>
      </c>
      <c r="CM40" s="43" t="s">
        <v>287</v>
      </c>
    </row>
    <row r="41" spans="1:91"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0"/>
      <c r="BN41" s="41"/>
      <c r="BO41" s="41"/>
      <c r="BP41" s="40"/>
      <c r="BQ41" s="40"/>
      <c r="BR41" s="40"/>
      <c r="BS41" s="40"/>
      <c r="BT41" s="40"/>
      <c r="BU41" s="40"/>
      <c r="BV41" s="40"/>
      <c r="BW41" s="40"/>
      <c r="BX41" s="40"/>
      <c r="BY41" s="41" t="s">
        <v>229</v>
      </c>
      <c r="BZ41" s="42" t="s">
        <v>249</v>
      </c>
      <c r="CA41" s="42"/>
      <c r="CB41" s="42" t="s">
        <v>845</v>
      </c>
      <c r="CC41" s="49" t="s">
        <v>837</v>
      </c>
      <c r="CD41" s="46" t="s">
        <v>245</v>
      </c>
      <c r="CE41" s="38" t="s">
        <v>252</v>
      </c>
      <c r="CF41" s="92" t="s">
        <v>136</v>
      </c>
      <c r="CG41" s="38"/>
      <c r="CH41" s="3" t="s">
        <v>291</v>
      </c>
      <c r="CI41" s="35" t="s">
        <v>205</v>
      </c>
      <c r="CJ41" s="35" t="s">
        <v>204</v>
      </c>
      <c r="CK41" s="37" t="s">
        <v>196</v>
      </c>
      <c r="CL41" s="37" t="s">
        <v>722</v>
      </c>
      <c r="CM41" s="43" t="s">
        <v>294</v>
      </c>
    </row>
    <row r="42" spans="1:91"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40"/>
      <c r="BN42" s="61"/>
      <c r="BO42" s="61"/>
      <c r="BP42" s="40"/>
      <c r="BQ42" s="40"/>
      <c r="BR42" s="40"/>
      <c r="BS42" s="40"/>
      <c r="BT42" s="40"/>
      <c r="BU42" s="40"/>
      <c r="BV42" s="40"/>
      <c r="BW42" s="40"/>
      <c r="BX42" s="40"/>
      <c r="BY42" s="41" t="s">
        <v>229</v>
      </c>
      <c r="BZ42" s="42" t="s">
        <v>249</v>
      </c>
      <c r="CA42" s="42"/>
      <c r="CB42" s="42" t="s">
        <v>845</v>
      </c>
      <c r="CC42" s="49" t="s">
        <v>837</v>
      </c>
      <c r="CD42" s="58" t="s">
        <v>117</v>
      </c>
      <c r="CE42" s="58" t="s">
        <v>284</v>
      </c>
      <c r="CF42" s="92" t="s">
        <v>137</v>
      </c>
      <c r="CG42" s="38"/>
      <c r="CH42" s="3"/>
      <c r="CI42" s="35" t="s">
        <v>205</v>
      </c>
      <c r="CJ42" s="35" t="s">
        <v>204</v>
      </c>
      <c r="CK42" s="37" t="s">
        <v>196</v>
      </c>
      <c r="CL42" s="140" t="s">
        <v>723</v>
      </c>
      <c r="CM42" s="43" t="s">
        <v>296</v>
      </c>
    </row>
    <row r="43" spans="1:91"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0"/>
      <c r="BY43" s="41" t="s">
        <v>228</v>
      </c>
      <c r="BZ43" s="42" t="s">
        <v>249</v>
      </c>
      <c r="CA43" s="42"/>
      <c r="CB43" s="42" t="s">
        <v>845</v>
      </c>
      <c r="CC43" s="49" t="s">
        <v>837</v>
      </c>
      <c r="CD43" s="40" t="s">
        <v>96</v>
      </c>
      <c r="CE43" s="40" t="s">
        <v>244</v>
      </c>
      <c r="CF43" s="38"/>
      <c r="CG43" s="38"/>
      <c r="CH43" s="3"/>
      <c r="CI43" s="35" t="s">
        <v>205</v>
      </c>
      <c r="CJ43" s="35" t="s">
        <v>204</v>
      </c>
      <c r="CK43" s="37" t="s">
        <v>353</v>
      </c>
      <c r="CL43" s="37" t="s">
        <v>692</v>
      </c>
      <c r="CM43" s="43" t="s">
        <v>348</v>
      </c>
    </row>
    <row r="44" spans="1:91"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40"/>
      <c r="BN44" s="85"/>
      <c r="BO44" s="85"/>
      <c r="BP44" s="40"/>
      <c r="BQ44" s="40"/>
      <c r="BR44" s="40"/>
      <c r="BS44" s="40"/>
      <c r="BT44" s="40"/>
      <c r="BU44" s="40"/>
      <c r="BV44" s="40"/>
      <c r="BW44" s="40"/>
      <c r="BX44" s="40"/>
      <c r="BY44" s="41" t="s">
        <v>228</v>
      </c>
      <c r="BZ44" s="42" t="s">
        <v>249</v>
      </c>
      <c r="CA44" s="42"/>
      <c r="CB44" s="42" t="s">
        <v>845</v>
      </c>
      <c r="CC44" s="49" t="s">
        <v>837</v>
      </c>
      <c r="CD44" s="40" t="s">
        <v>95</v>
      </c>
      <c r="CE44" s="38" t="s">
        <v>285</v>
      </c>
      <c r="CF44" s="38"/>
      <c r="CG44" s="38"/>
      <c r="CH44" s="3"/>
      <c r="CI44" s="35" t="s">
        <v>205</v>
      </c>
      <c r="CJ44" s="35" t="s">
        <v>204</v>
      </c>
      <c r="CK44" s="37" t="s">
        <v>357</v>
      </c>
      <c r="CL44" s="37" t="s">
        <v>692</v>
      </c>
      <c r="CM44" s="43" t="s">
        <v>655</v>
      </c>
    </row>
    <row r="45" spans="1:91"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86"/>
      <c r="BN45" s="15"/>
      <c r="BO45" s="15"/>
      <c r="BP45" s="86"/>
      <c r="BQ45" s="86"/>
      <c r="BR45" s="86"/>
      <c r="BS45" s="86"/>
      <c r="BT45" s="86"/>
      <c r="BU45" s="86"/>
      <c r="BV45" s="86"/>
      <c r="BW45" s="86"/>
      <c r="BX45" s="86"/>
      <c r="BY45" s="10" t="s">
        <v>228</v>
      </c>
      <c r="BZ45" s="17" t="s">
        <v>249</v>
      </c>
      <c r="CA45" s="17"/>
      <c r="CB45" s="17" t="s">
        <v>845</v>
      </c>
      <c r="CC45" s="49" t="s">
        <v>837</v>
      </c>
      <c r="CD45" s="15" t="s">
        <v>96</v>
      </c>
      <c r="CE45" s="15" t="s">
        <v>244</v>
      </c>
      <c r="CF45" s="92" t="s">
        <v>137</v>
      </c>
      <c r="CG45" s="22"/>
      <c r="CH45" s="2"/>
      <c r="CI45" s="14" t="s">
        <v>205</v>
      </c>
      <c r="CJ45" s="14" t="s">
        <v>204</v>
      </c>
      <c r="CK45" s="18" t="s">
        <v>196</v>
      </c>
      <c r="CL45" s="18" t="s">
        <v>692</v>
      </c>
      <c r="CM45" s="21" t="s">
        <v>368</v>
      </c>
    </row>
    <row r="46" spans="1:91"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86"/>
      <c r="BN46" s="22"/>
      <c r="BO46" s="22"/>
      <c r="BP46" s="86"/>
      <c r="BQ46" s="86"/>
      <c r="BR46" s="15"/>
      <c r="BS46" s="15"/>
      <c r="BT46" s="15"/>
      <c r="BU46" s="15"/>
      <c r="BV46" s="15"/>
      <c r="BW46" s="15"/>
      <c r="BX46" s="15"/>
      <c r="BY46" s="10" t="s">
        <v>228</v>
      </c>
      <c r="BZ46" s="17" t="s">
        <v>170</v>
      </c>
      <c r="CA46" s="17"/>
      <c r="CB46" s="17" t="s">
        <v>845</v>
      </c>
      <c r="CC46" s="49" t="s">
        <v>837</v>
      </c>
      <c r="CD46" s="54" t="s">
        <v>245</v>
      </c>
      <c r="CE46" s="22" t="s">
        <v>252</v>
      </c>
      <c r="CF46" s="92" t="s">
        <v>136</v>
      </c>
      <c r="CG46" s="22"/>
      <c r="CH46" s="2"/>
      <c r="CI46" s="14" t="s">
        <v>205</v>
      </c>
      <c r="CJ46" s="14" t="s">
        <v>204</v>
      </c>
      <c r="CK46" s="18" t="s">
        <v>375</v>
      </c>
      <c r="CL46" s="18" t="s">
        <v>696</v>
      </c>
      <c r="CM46" s="21" t="s">
        <v>376</v>
      </c>
    </row>
    <row r="47" spans="1:91"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86"/>
      <c r="BN47" s="15"/>
      <c r="BO47" s="15"/>
      <c r="BP47" s="86"/>
      <c r="BQ47" s="86"/>
      <c r="BR47" s="15"/>
      <c r="BS47" s="15"/>
      <c r="BT47" s="15"/>
      <c r="BU47" s="15"/>
      <c r="BV47" s="15"/>
      <c r="BW47" s="15"/>
      <c r="BX47" s="15"/>
      <c r="BY47" s="10" t="s">
        <v>228</v>
      </c>
      <c r="BZ47" s="17" t="s">
        <v>249</v>
      </c>
      <c r="CA47" s="17"/>
      <c r="CB47" s="17" t="s">
        <v>845</v>
      </c>
      <c r="CC47" s="49" t="s">
        <v>837</v>
      </c>
      <c r="CD47" s="15" t="s">
        <v>95</v>
      </c>
      <c r="CE47" s="22" t="s">
        <v>285</v>
      </c>
      <c r="CF47" s="92" t="s">
        <v>137</v>
      </c>
      <c r="CG47" s="22"/>
      <c r="CH47" s="2"/>
      <c r="CI47" s="14" t="s">
        <v>205</v>
      </c>
      <c r="CJ47" s="14" t="s">
        <v>204</v>
      </c>
      <c r="CK47" s="18" t="s">
        <v>196</v>
      </c>
      <c r="CL47" s="18" t="s">
        <v>692</v>
      </c>
      <c r="CM47" s="21" t="s">
        <v>382</v>
      </c>
    </row>
    <row r="48" spans="1:91"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5"/>
      <c r="BY48" s="10" t="s">
        <v>229</v>
      </c>
      <c r="BZ48" s="17" t="s">
        <v>249</v>
      </c>
      <c r="CA48" s="17"/>
      <c r="CB48" s="17" t="s">
        <v>845</v>
      </c>
      <c r="CC48" s="49" t="s">
        <v>837</v>
      </c>
      <c r="CD48" s="15" t="s">
        <v>96</v>
      </c>
      <c r="CE48" s="15" t="s">
        <v>244</v>
      </c>
      <c r="CF48" s="92" t="s">
        <v>136</v>
      </c>
      <c r="CG48" s="22"/>
      <c r="CH48" s="2"/>
      <c r="CI48" s="14" t="s">
        <v>258</v>
      </c>
      <c r="CJ48" s="14" t="s">
        <v>204</v>
      </c>
      <c r="CK48" s="18" t="s">
        <v>196</v>
      </c>
      <c r="CL48" s="18" t="s">
        <v>724</v>
      </c>
      <c r="CM48" s="21" t="s">
        <v>398</v>
      </c>
    </row>
    <row r="49" spans="1:91"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6"/>
      <c r="BN49" s="87"/>
      <c r="BO49" s="87"/>
      <c r="BP49" s="86"/>
      <c r="BQ49" s="86"/>
      <c r="BR49" s="15" t="s">
        <v>366</v>
      </c>
      <c r="BS49" s="15" t="s">
        <v>367</v>
      </c>
      <c r="BT49" s="15" t="s">
        <v>164</v>
      </c>
      <c r="BU49" s="15"/>
      <c r="BV49" s="15"/>
      <c r="BW49" s="15"/>
      <c r="BX49" s="15"/>
      <c r="BY49" s="10" t="s">
        <v>228</v>
      </c>
      <c r="BZ49" s="17" t="s">
        <v>170</v>
      </c>
      <c r="CA49" s="17"/>
      <c r="CB49" s="17" t="s">
        <v>845</v>
      </c>
      <c r="CC49" s="49" t="s">
        <v>837</v>
      </c>
      <c r="CD49" s="15" t="s">
        <v>98</v>
      </c>
      <c r="CE49" s="15" t="s">
        <v>286</v>
      </c>
      <c r="CF49" s="22"/>
      <c r="CG49" s="22"/>
      <c r="CH49" s="2"/>
      <c r="CI49" s="14" t="s">
        <v>209</v>
      </c>
      <c r="CJ49" s="14" t="s">
        <v>204</v>
      </c>
      <c r="CK49" s="18" t="s">
        <v>389</v>
      </c>
      <c r="CL49" s="18"/>
      <c r="CM49" s="21" t="s">
        <v>385</v>
      </c>
    </row>
    <row r="50" spans="1:91"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86"/>
      <c r="BN50" s="15"/>
      <c r="BO50" s="15"/>
      <c r="BP50" s="86"/>
      <c r="BQ50" s="86"/>
      <c r="BR50" s="15"/>
      <c r="BS50" s="15"/>
      <c r="BT50" s="15"/>
      <c r="BU50" s="15"/>
      <c r="BV50" s="15"/>
      <c r="BW50" s="15"/>
      <c r="BX50" s="15"/>
      <c r="BY50" s="10" t="s">
        <v>228</v>
      </c>
      <c r="BZ50" s="17" t="s">
        <v>249</v>
      </c>
      <c r="CA50" s="17"/>
      <c r="CB50" s="17" t="s">
        <v>845</v>
      </c>
      <c r="CC50" s="49" t="s">
        <v>837</v>
      </c>
      <c r="CD50" s="15" t="s">
        <v>95</v>
      </c>
      <c r="CE50" s="22" t="s">
        <v>285</v>
      </c>
      <c r="CF50" s="92" t="s">
        <v>137</v>
      </c>
      <c r="CG50" s="22"/>
      <c r="CH50" s="2"/>
      <c r="CI50" s="14" t="s">
        <v>205</v>
      </c>
      <c r="CJ50" s="14" t="s">
        <v>204</v>
      </c>
      <c r="CK50" s="18" t="s">
        <v>353</v>
      </c>
      <c r="CL50" s="18" t="s">
        <v>692</v>
      </c>
      <c r="CM50" s="21" t="s">
        <v>396</v>
      </c>
    </row>
    <row r="51" spans="1:91"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5"/>
      <c r="BY51" s="10" t="s">
        <v>229</v>
      </c>
      <c r="BZ51" s="17" t="s">
        <v>249</v>
      </c>
      <c r="CA51" s="17"/>
      <c r="CB51" s="17" t="s">
        <v>845</v>
      </c>
      <c r="CC51" s="49" t="s">
        <v>837</v>
      </c>
      <c r="CD51" s="15" t="s">
        <v>96</v>
      </c>
      <c r="CE51" s="15" t="s">
        <v>244</v>
      </c>
      <c r="CF51" s="92" t="s">
        <v>136</v>
      </c>
      <c r="CG51" s="22"/>
      <c r="CH51" s="2"/>
      <c r="CI51" s="14" t="s">
        <v>258</v>
      </c>
      <c r="CJ51" s="14" t="s">
        <v>204</v>
      </c>
      <c r="CK51" s="18" t="s">
        <v>353</v>
      </c>
      <c r="CL51" s="18" t="s">
        <v>724</v>
      </c>
      <c r="CM51" s="21" t="s">
        <v>397</v>
      </c>
    </row>
    <row r="52" spans="1:91" s="9" customFormat="1" x14ac:dyDescent="0.35">
      <c r="A52" s="124">
        <v>47</v>
      </c>
      <c r="B52" s="9">
        <v>8</v>
      </c>
      <c r="C52" s="20" t="s">
        <v>393</v>
      </c>
      <c r="D52" s="20" t="s">
        <v>400</v>
      </c>
      <c r="E52" s="14" t="s">
        <v>35</v>
      </c>
      <c r="F52" s="90">
        <v>65</v>
      </c>
      <c r="G52" s="14">
        <v>4800994</v>
      </c>
      <c r="H52" s="14" t="s">
        <v>828</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15"/>
      <c r="BN52" s="87"/>
      <c r="BO52" s="87"/>
      <c r="BP52" s="15"/>
      <c r="BQ52" s="15"/>
      <c r="BR52" s="15" t="s">
        <v>366</v>
      </c>
      <c r="BS52" s="15" t="s">
        <v>367</v>
      </c>
      <c r="BT52" s="15" t="s">
        <v>164</v>
      </c>
      <c r="BU52" s="15"/>
      <c r="BV52" s="15"/>
      <c r="BW52" s="15"/>
      <c r="BX52" s="15"/>
      <c r="BY52" s="10" t="s">
        <v>228</v>
      </c>
      <c r="BZ52" s="17" t="s">
        <v>170</v>
      </c>
      <c r="CA52" s="17"/>
      <c r="CB52" s="17" t="s">
        <v>845</v>
      </c>
      <c r="CC52" s="49" t="s">
        <v>837</v>
      </c>
      <c r="CD52" s="15" t="s">
        <v>98</v>
      </c>
      <c r="CE52" s="15" t="s">
        <v>286</v>
      </c>
      <c r="CF52" s="22"/>
      <c r="CG52" s="22"/>
      <c r="CH52" s="2"/>
      <c r="CI52" s="14" t="s">
        <v>209</v>
      </c>
      <c r="CJ52" s="14" t="s">
        <v>204</v>
      </c>
      <c r="CK52" s="18" t="s">
        <v>207</v>
      </c>
      <c r="CL52" s="18"/>
      <c r="CM52" s="21" t="s">
        <v>394</v>
      </c>
    </row>
    <row r="53" spans="1:91" s="9" customFormat="1" x14ac:dyDescent="0.35">
      <c r="A53" s="124">
        <v>48</v>
      </c>
      <c r="B53" s="9">
        <v>9</v>
      </c>
      <c r="C53" s="20" t="s">
        <v>402</v>
      </c>
      <c r="D53" s="20" t="s">
        <v>410</v>
      </c>
      <c r="E53" s="14" t="s">
        <v>35</v>
      </c>
      <c r="F53" s="90">
        <v>67</v>
      </c>
      <c r="G53" s="14">
        <v>4800994</v>
      </c>
      <c r="H53" s="14" t="s">
        <v>828</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15"/>
      <c r="BN53" s="87"/>
      <c r="BO53" s="87"/>
      <c r="BP53" s="15"/>
      <c r="BQ53" s="15"/>
      <c r="BR53" s="15" t="s">
        <v>366</v>
      </c>
      <c r="BS53" s="15" t="s">
        <v>367</v>
      </c>
      <c r="BT53" s="15" t="s">
        <v>164</v>
      </c>
      <c r="BU53" s="15"/>
      <c r="BV53" s="15"/>
      <c r="BW53" s="15"/>
      <c r="BX53" s="15"/>
      <c r="BY53" s="10" t="s">
        <v>228</v>
      </c>
      <c r="BZ53" s="17" t="s">
        <v>170</v>
      </c>
      <c r="CA53" s="17"/>
      <c r="CB53" s="17" t="s">
        <v>845</v>
      </c>
      <c r="CC53" s="49" t="s">
        <v>837</v>
      </c>
      <c r="CD53" s="15" t="s">
        <v>98</v>
      </c>
      <c r="CE53" s="15" t="s">
        <v>286</v>
      </c>
      <c r="CF53" s="22"/>
      <c r="CG53" s="22"/>
      <c r="CH53" s="2"/>
      <c r="CI53" s="14" t="s">
        <v>209</v>
      </c>
      <c r="CJ53" s="14" t="s">
        <v>204</v>
      </c>
      <c r="CK53" s="18" t="s">
        <v>207</v>
      </c>
      <c r="CL53" s="18" t="s">
        <v>733</v>
      </c>
      <c r="CM53" s="21" t="s">
        <v>415</v>
      </c>
    </row>
    <row r="54" spans="1:91"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86"/>
      <c r="BN54" s="15"/>
      <c r="BO54" s="15"/>
      <c r="BP54" s="86"/>
      <c r="BQ54" s="86"/>
      <c r="BR54" s="15"/>
      <c r="BS54" s="15"/>
      <c r="BT54" s="15"/>
      <c r="BU54" s="15"/>
      <c r="BV54" s="15"/>
      <c r="BW54" s="15"/>
      <c r="BX54" s="15"/>
      <c r="BY54" s="10" t="s">
        <v>228</v>
      </c>
      <c r="BZ54" s="17" t="s">
        <v>249</v>
      </c>
      <c r="CA54" s="17"/>
      <c r="CB54" s="17" t="s">
        <v>845</v>
      </c>
      <c r="CC54" s="49" t="s">
        <v>837</v>
      </c>
      <c r="CD54" s="15" t="s">
        <v>95</v>
      </c>
      <c r="CE54" s="22" t="s">
        <v>285</v>
      </c>
      <c r="CF54" s="92" t="s">
        <v>137</v>
      </c>
      <c r="CG54" s="22"/>
      <c r="CH54" s="2" t="s">
        <v>409</v>
      </c>
      <c r="CI54" s="14" t="s">
        <v>205</v>
      </c>
      <c r="CJ54" s="14" t="s">
        <v>204</v>
      </c>
      <c r="CK54" s="18" t="s">
        <v>196</v>
      </c>
      <c r="CL54" s="18" t="s">
        <v>692</v>
      </c>
      <c r="CM54" s="21" t="s">
        <v>407</v>
      </c>
    </row>
    <row r="55" spans="1:91"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5"/>
      <c r="BY55" s="10" t="s">
        <v>229</v>
      </c>
      <c r="BZ55" s="17" t="s">
        <v>249</v>
      </c>
      <c r="CA55" s="17"/>
      <c r="CB55" s="17" t="s">
        <v>845</v>
      </c>
      <c r="CC55" s="49" t="s">
        <v>837</v>
      </c>
      <c r="CD55" s="15" t="s">
        <v>96</v>
      </c>
      <c r="CE55" s="15" t="s">
        <v>244</v>
      </c>
      <c r="CF55" s="92" t="s">
        <v>136</v>
      </c>
      <c r="CG55" s="22"/>
      <c r="CH55" s="2" t="s">
        <v>409</v>
      </c>
      <c r="CI55" s="14" t="s">
        <v>258</v>
      </c>
      <c r="CJ55" s="14" t="s">
        <v>204</v>
      </c>
      <c r="CK55" s="18" t="s">
        <v>196</v>
      </c>
      <c r="CL55" s="18" t="s">
        <v>724</v>
      </c>
      <c r="CM55" s="21" t="s">
        <v>417</v>
      </c>
    </row>
    <row r="56" spans="1:91" s="9" customFormat="1" x14ac:dyDescent="0.35">
      <c r="A56" s="124">
        <v>51</v>
      </c>
      <c r="B56" s="9">
        <v>12</v>
      </c>
      <c r="C56" s="20" t="s">
        <v>411</v>
      </c>
      <c r="D56" s="20" t="s">
        <v>421</v>
      </c>
      <c r="E56" s="14" t="s">
        <v>35</v>
      </c>
      <c r="F56" s="90">
        <v>69</v>
      </c>
      <c r="G56" s="14">
        <v>4800994</v>
      </c>
      <c r="H56" s="14" t="s">
        <v>828</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15"/>
      <c r="BN56" s="87"/>
      <c r="BO56" s="87"/>
      <c r="BP56" s="15"/>
      <c r="BQ56" s="15"/>
      <c r="BR56" s="15" t="s">
        <v>366</v>
      </c>
      <c r="BS56" s="15" t="s">
        <v>367</v>
      </c>
      <c r="BT56" s="15" t="s">
        <v>164</v>
      </c>
      <c r="BU56" s="15"/>
      <c r="BV56" s="15"/>
      <c r="BW56" s="15"/>
      <c r="BX56" s="15"/>
      <c r="BY56" s="10" t="s">
        <v>228</v>
      </c>
      <c r="BZ56" s="17" t="s">
        <v>170</v>
      </c>
      <c r="CA56" s="17"/>
      <c r="CB56" s="17" t="s">
        <v>845</v>
      </c>
      <c r="CC56" s="49" t="s">
        <v>837</v>
      </c>
      <c r="CD56" s="15" t="s">
        <v>98</v>
      </c>
      <c r="CE56" s="15" t="s">
        <v>286</v>
      </c>
      <c r="CF56" s="22"/>
      <c r="CG56" s="22"/>
      <c r="CH56" s="2"/>
      <c r="CI56" s="14" t="s">
        <v>209</v>
      </c>
      <c r="CJ56" s="14" t="s">
        <v>204</v>
      </c>
      <c r="CK56" s="18" t="s">
        <v>422</v>
      </c>
      <c r="CL56" s="18" t="s">
        <v>708</v>
      </c>
      <c r="CM56" s="21" t="s">
        <v>424</v>
      </c>
    </row>
    <row r="57" spans="1:91"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5"/>
      <c r="BY57" s="10" t="s">
        <v>228</v>
      </c>
      <c r="BZ57" s="17" t="s">
        <v>170</v>
      </c>
      <c r="CA57" s="17"/>
      <c r="CB57" s="17" t="s">
        <v>845</v>
      </c>
      <c r="CC57" s="49" t="s">
        <v>837</v>
      </c>
      <c r="CD57" s="22" t="s">
        <v>117</v>
      </c>
      <c r="CE57" s="22" t="s">
        <v>284</v>
      </c>
      <c r="CF57" s="92" t="s">
        <v>137</v>
      </c>
      <c r="CG57" s="22"/>
      <c r="CH57" s="2"/>
      <c r="CI57" s="14" t="s">
        <v>205</v>
      </c>
      <c r="CJ57" s="14" t="s">
        <v>204</v>
      </c>
      <c r="CK57" s="18" t="s">
        <v>196</v>
      </c>
      <c r="CL57" s="18" t="s">
        <v>692</v>
      </c>
      <c r="CM57" s="21" t="s">
        <v>425</v>
      </c>
    </row>
    <row r="58" spans="1:91" s="9" customFormat="1" ht="15" thickBot="1" x14ac:dyDescent="0.4">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22"/>
      <c r="BU58" s="15"/>
      <c r="BV58" s="15"/>
      <c r="BW58" s="15"/>
      <c r="BX58" s="15"/>
      <c r="BY58" s="10" t="s">
        <v>228</v>
      </c>
      <c r="BZ58" s="17" t="s">
        <v>170</v>
      </c>
      <c r="CA58" s="17"/>
      <c r="CB58" s="17" t="s">
        <v>845</v>
      </c>
      <c r="CC58" s="49" t="s">
        <v>837</v>
      </c>
      <c r="CD58" s="15" t="s">
        <v>95</v>
      </c>
      <c r="CE58" s="22" t="s">
        <v>285</v>
      </c>
      <c r="CF58" s="92" t="s">
        <v>137</v>
      </c>
      <c r="CG58" s="22"/>
      <c r="CH58" s="2"/>
      <c r="CI58" s="14" t="s">
        <v>205</v>
      </c>
      <c r="CJ58" s="14" t="s">
        <v>204</v>
      </c>
      <c r="CK58" s="18" t="s">
        <v>353</v>
      </c>
      <c r="CL58" s="18" t="s">
        <v>725</v>
      </c>
      <c r="CM58" s="21" t="s">
        <v>507</v>
      </c>
    </row>
    <row r="59" spans="1:91" s="9" customFormat="1" ht="15" thickBot="1" x14ac:dyDescent="0.4">
      <c r="A59" s="124">
        <v>54</v>
      </c>
      <c r="B59" s="82">
        <v>15</v>
      </c>
      <c r="C59" s="163">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c r="BR59" s="22" t="s">
        <v>366</v>
      </c>
      <c r="BS59" s="15" t="s">
        <v>367</v>
      </c>
      <c r="BT59" s="22" t="s">
        <v>164</v>
      </c>
      <c r="BU59" s="15"/>
      <c r="BV59" s="15"/>
      <c r="BW59" s="15"/>
      <c r="BX59" s="15"/>
      <c r="BY59" s="10" t="s">
        <v>228</v>
      </c>
      <c r="BZ59" s="17" t="s">
        <v>170</v>
      </c>
      <c r="CA59" s="17"/>
      <c r="CB59" s="17" t="s">
        <v>845</v>
      </c>
      <c r="CC59" s="49" t="s">
        <v>837</v>
      </c>
      <c r="CD59" s="15" t="s">
        <v>95</v>
      </c>
      <c r="CE59" s="22" t="s">
        <v>285</v>
      </c>
      <c r="CF59" s="92" t="s">
        <v>136</v>
      </c>
      <c r="CG59" s="22"/>
      <c r="CH59" s="2"/>
      <c r="CI59" s="14" t="s">
        <v>205</v>
      </c>
      <c r="CJ59" s="14" t="s">
        <v>204</v>
      </c>
      <c r="CK59" s="18" t="s">
        <v>201</v>
      </c>
      <c r="CL59" s="18" t="s">
        <v>692</v>
      </c>
      <c r="CM59" s="21" t="s">
        <v>394</v>
      </c>
    </row>
    <row r="60" spans="1:91"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40"/>
      <c r="BP60" s="38"/>
      <c r="BQ60" s="38"/>
      <c r="BR60" s="38"/>
      <c r="BS60" s="40"/>
      <c r="BT60" s="38"/>
      <c r="BU60" s="40"/>
      <c r="BV60" s="40"/>
      <c r="BW60" s="40"/>
      <c r="BX60" s="40"/>
      <c r="BY60" s="41" t="s">
        <v>228</v>
      </c>
      <c r="BZ60" s="42" t="s">
        <v>170</v>
      </c>
      <c r="CA60" s="42"/>
      <c r="CB60" s="42" t="s">
        <v>845</v>
      </c>
      <c r="CC60" s="49" t="s">
        <v>837</v>
      </c>
      <c r="CD60" s="40" t="s">
        <v>95</v>
      </c>
      <c r="CE60" s="38" t="s">
        <v>285</v>
      </c>
      <c r="CF60" s="131">
        <v>200206</v>
      </c>
      <c r="CG60" s="95"/>
      <c r="CH60" s="3"/>
      <c r="CI60" s="35" t="s">
        <v>205</v>
      </c>
      <c r="CJ60" s="35" t="s">
        <v>204</v>
      </c>
      <c r="CK60" s="37" t="s">
        <v>196</v>
      </c>
      <c r="CL60" s="37" t="s">
        <v>692</v>
      </c>
      <c r="CM60" s="43" t="s">
        <v>440</v>
      </c>
    </row>
    <row r="61" spans="1:91"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40"/>
      <c r="BP61" s="38"/>
      <c r="BQ61" s="38"/>
      <c r="BR61" s="38"/>
      <c r="BS61" s="38"/>
      <c r="BT61" s="38"/>
      <c r="BU61" s="40"/>
      <c r="BV61" s="40"/>
      <c r="BW61" s="40"/>
      <c r="BX61" s="40"/>
      <c r="BY61" s="41" t="s">
        <v>228</v>
      </c>
      <c r="BZ61" s="42" t="s">
        <v>170</v>
      </c>
      <c r="CA61" s="42"/>
      <c r="CB61" s="42" t="s">
        <v>845</v>
      </c>
      <c r="CC61" s="49" t="s">
        <v>837</v>
      </c>
      <c r="CD61" s="40" t="s">
        <v>95</v>
      </c>
      <c r="CE61" s="38" t="s">
        <v>285</v>
      </c>
      <c r="CF61" s="95" t="s">
        <v>500</v>
      </c>
      <c r="CG61" s="95"/>
      <c r="CH61" s="95"/>
      <c r="CI61" s="35" t="s">
        <v>205</v>
      </c>
      <c r="CJ61" s="3" t="s">
        <v>444</v>
      </c>
      <c r="CK61" s="37" t="s">
        <v>196</v>
      </c>
      <c r="CL61" s="37" t="s">
        <v>692</v>
      </c>
      <c r="CM61" s="43" t="s">
        <v>675</v>
      </c>
    </row>
    <row r="62" spans="1:91" s="23" customFormat="1" x14ac:dyDescent="0.35">
      <c r="A62" s="124">
        <v>57</v>
      </c>
      <c r="B62" s="23">
        <v>3</v>
      </c>
      <c r="C62" s="3">
        <v>20220915</v>
      </c>
      <c r="D62" s="34" t="s">
        <v>447</v>
      </c>
      <c r="E62" s="35" t="s">
        <v>53</v>
      </c>
      <c r="F62" s="90">
        <v>73</v>
      </c>
      <c r="G62" s="35">
        <v>4800937</v>
      </c>
      <c r="H62" s="35" t="s">
        <v>828</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c r="BR62" s="38" t="s">
        <v>366</v>
      </c>
      <c r="BS62" s="40" t="s">
        <v>367</v>
      </c>
      <c r="BT62" s="38" t="s">
        <v>164</v>
      </c>
      <c r="BU62" s="40"/>
      <c r="BV62" s="40"/>
      <c r="BW62" s="40"/>
      <c r="BX62" s="40"/>
      <c r="BY62" s="41" t="s">
        <v>228</v>
      </c>
      <c r="BZ62" s="42" t="s">
        <v>170</v>
      </c>
      <c r="CA62" s="42"/>
      <c r="CB62" s="42" t="s">
        <v>845</v>
      </c>
      <c r="CC62" s="49" t="s">
        <v>837</v>
      </c>
      <c r="CD62" s="40" t="s">
        <v>245</v>
      </c>
      <c r="CE62" s="3" t="s">
        <v>451</v>
      </c>
      <c r="CF62" s="38"/>
      <c r="CG62" s="38"/>
      <c r="CH62" s="3"/>
      <c r="CI62" s="35" t="s">
        <v>209</v>
      </c>
      <c r="CJ62" s="35" t="s">
        <v>444</v>
      </c>
      <c r="CK62" s="37" t="s">
        <v>207</v>
      </c>
      <c r="CL62" s="37" t="s">
        <v>726</v>
      </c>
      <c r="CM62" s="43" t="s">
        <v>661</v>
      </c>
    </row>
    <row r="63" spans="1:91" s="23" customFormat="1" ht="15" thickBot="1" x14ac:dyDescent="0.4">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0"/>
      <c r="BY63" s="41" t="s">
        <v>228</v>
      </c>
      <c r="BZ63" s="42" t="s">
        <v>812</v>
      </c>
      <c r="CA63" s="42"/>
      <c r="CB63" s="42" t="s">
        <v>845</v>
      </c>
      <c r="CC63" s="49" t="s">
        <v>837</v>
      </c>
      <c r="CD63" s="96" t="s">
        <v>245</v>
      </c>
      <c r="CE63" s="3" t="s">
        <v>451</v>
      </c>
      <c r="CF63" s="131">
        <v>200206</v>
      </c>
      <c r="CG63" s="95"/>
      <c r="CH63" s="95"/>
      <c r="CI63" s="3" t="s">
        <v>205</v>
      </c>
      <c r="CJ63" s="3" t="s">
        <v>444</v>
      </c>
      <c r="CK63" s="37" t="s">
        <v>196</v>
      </c>
      <c r="CL63" s="37"/>
      <c r="CM63" s="43" t="s">
        <v>684</v>
      </c>
    </row>
    <row r="64" spans="1:91" s="23" customFormat="1" ht="15" thickBot="1" x14ac:dyDescent="0.4">
      <c r="A64" s="124">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0"/>
      <c r="BY64" s="41" t="s">
        <v>228</v>
      </c>
      <c r="BZ64" s="42" t="s">
        <v>170</v>
      </c>
      <c r="CA64" s="42"/>
      <c r="CB64" s="42" t="s">
        <v>845</v>
      </c>
      <c r="CC64" s="49" t="s">
        <v>837</v>
      </c>
      <c r="CD64" s="96">
        <v>162640</v>
      </c>
      <c r="CE64" s="3" t="s">
        <v>286</v>
      </c>
      <c r="CF64" s="132">
        <v>201189</v>
      </c>
      <c r="CG64" s="3"/>
      <c r="CH64" s="95"/>
      <c r="CI64" s="3" t="s">
        <v>205</v>
      </c>
      <c r="CJ64" s="3" t="s">
        <v>444</v>
      </c>
      <c r="CK64" s="37" t="s">
        <v>201</v>
      </c>
      <c r="CL64" s="37" t="s">
        <v>727</v>
      </c>
      <c r="CM64" s="43" t="s">
        <v>508</v>
      </c>
    </row>
    <row r="65" spans="1:122"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2"/>
      <c r="BY65" s="20" t="s">
        <v>228</v>
      </c>
      <c r="BZ65" s="49" t="s">
        <v>812</v>
      </c>
      <c r="CA65" s="49"/>
      <c r="CB65" s="49" t="s">
        <v>845</v>
      </c>
      <c r="CC65" s="49" t="s">
        <v>837</v>
      </c>
      <c r="CD65" s="49">
        <v>201383</v>
      </c>
      <c r="CE65" s="2" t="s">
        <v>451</v>
      </c>
      <c r="CF65" s="131">
        <v>200206</v>
      </c>
      <c r="CG65" s="97"/>
      <c r="CH65" s="97" t="s">
        <v>496</v>
      </c>
      <c r="CI65" s="2" t="s">
        <v>205</v>
      </c>
      <c r="CJ65" s="2" t="s">
        <v>444</v>
      </c>
      <c r="CK65" s="18" t="s">
        <v>196</v>
      </c>
      <c r="CL65" s="18"/>
      <c r="CM65" s="21" t="s">
        <v>686</v>
      </c>
    </row>
    <row r="66" spans="1:122"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22"/>
      <c r="BU66" s="15"/>
      <c r="BV66" s="15"/>
      <c r="BW66" s="15"/>
      <c r="BX66" s="15"/>
      <c r="BY66" s="10" t="s">
        <v>228</v>
      </c>
      <c r="BZ66" s="17" t="s">
        <v>170</v>
      </c>
      <c r="CA66" s="17"/>
      <c r="CB66" s="49" t="s">
        <v>845</v>
      </c>
      <c r="CC66" s="49" t="s">
        <v>837</v>
      </c>
      <c r="CD66" s="49">
        <v>162640</v>
      </c>
      <c r="CE66" s="2" t="s">
        <v>286</v>
      </c>
      <c r="CF66" s="92" t="s">
        <v>137</v>
      </c>
      <c r="CG66" s="22"/>
      <c r="CH66" s="97" t="s">
        <v>471</v>
      </c>
      <c r="CI66" s="2" t="s">
        <v>205</v>
      </c>
      <c r="CJ66" s="2" t="s">
        <v>204</v>
      </c>
      <c r="CK66" s="18" t="s">
        <v>196</v>
      </c>
      <c r="CL66" s="18" t="s">
        <v>728</v>
      </c>
      <c r="CM66" s="21" t="s">
        <v>516</v>
      </c>
    </row>
    <row r="67" spans="1:122"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22"/>
      <c r="BU67" s="15"/>
      <c r="BV67" s="15"/>
      <c r="BW67" s="15"/>
      <c r="BX67" s="15"/>
      <c r="BY67" s="10" t="s">
        <v>228</v>
      </c>
      <c r="BZ67" s="17" t="s">
        <v>170</v>
      </c>
      <c r="CA67" s="17"/>
      <c r="CB67" s="49" t="s">
        <v>845</v>
      </c>
      <c r="CC67" s="49" t="s">
        <v>837</v>
      </c>
      <c r="CD67" s="49" t="s">
        <v>245</v>
      </c>
      <c r="CE67" s="2" t="s">
        <v>451</v>
      </c>
      <c r="CF67" s="97" t="s">
        <v>506</v>
      </c>
      <c r="CG67" s="97"/>
      <c r="CH67" s="97"/>
      <c r="CI67" s="2" t="s">
        <v>205</v>
      </c>
      <c r="CJ67" s="2" t="s">
        <v>204</v>
      </c>
      <c r="CK67" s="18" t="s">
        <v>501</v>
      </c>
      <c r="CL67" s="18" t="s">
        <v>729</v>
      </c>
      <c r="CM67" s="21" t="s">
        <v>503</v>
      </c>
    </row>
    <row r="68" spans="1:122" s="9" customFormat="1" x14ac:dyDescent="0.35">
      <c r="A68" s="124">
        <v>63</v>
      </c>
      <c r="B68" s="9">
        <v>4</v>
      </c>
      <c r="C68" s="20" t="s">
        <v>473</v>
      </c>
      <c r="D68" s="20" t="s">
        <v>509</v>
      </c>
      <c r="E68" s="14" t="s">
        <v>35</v>
      </c>
      <c r="F68" s="90">
        <v>77</v>
      </c>
      <c r="G68" s="14">
        <v>4800994</v>
      </c>
      <c r="H68" s="14" t="s">
        <v>828</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c r="BR68" s="22" t="s">
        <v>366</v>
      </c>
      <c r="BS68" s="22" t="s">
        <v>367</v>
      </c>
      <c r="BT68" s="22" t="s">
        <v>164</v>
      </c>
      <c r="BU68" s="22"/>
      <c r="BV68" s="22"/>
      <c r="BW68" s="22"/>
      <c r="BX68" s="22"/>
      <c r="BY68" s="20" t="s">
        <v>228</v>
      </c>
      <c r="BZ68" s="49" t="s">
        <v>170</v>
      </c>
      <c r="CA68" s="49"/>
      <c r="CB68" s="49" t="s">
        <v>845</v>
      </c>
      <c r="CC68" s="49" t="s">
        <v>837</v>
      </c>
      <c r="CD68" s="49">
        <v>162642</v>
      </c>
      <c r="CE68" s="2" t="s">
        <v>285</v>
      </c>
      <c r="CF68" s="97"/>
      <c r="CG68" s="97"/>
      <c r="CH68" s="97"/>
      <c r="CI68" s="2" t="s">
        <v>209</v>
      </c>
      <c r="CJ68" s="2" t="s">
        <v>204</v>
      </c>
      <c r="CK68" s="18" t="s">
        <v>511</v>
      </c>
      <c r="CL68" s="18" t="s">
        <v>730</v>
      </c>
      <c r="CM68" s="21" t="s">
        <v>660</v>
      </c>
    </row>
    <row r="69" spans="1:122"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2"/>
      <c r="BY69" s="20" t="s">
        <v>228</v>
      </c>
      <c r="BZ69" s="49" t="s">
        <v>170</v>
      </c>
      <c r="CA69" s="49"/>
      <c r="CB69" s="49" t="s">
        <v>845</v>
      </c>
      <c r="CC69" s="49" t="s">
        <v>837</v>
      </c>
      <c r="CD69" s="15" t="s">
        <v>98</v>
      </c>
      <c r="CE69" s="15" t="s">
        <v>286</v>
      </c>
      <c r="CF69" s="92" t="s">
        <v>137</v>
      </c>
      <c r="CG69" s="22"/>
      <c r="CH69" s="97" t="s">
        <v>520</v>
      </c>
      <c r="CI69" s="2" t="s">
        <v>205</v>
      </c>
      <c r="CJ69" s="2" t="s">
        <v>204</v>
      </c>
      <c r="CK69" s="18" t="s">
        <v>196</v>
      </c>
      <c r="CL69" s="18"/>
      <c r="CM69" s="21" t="s">
        <v>518</v>
      </c>
    </row>
    <row r="70" spans="1:122"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2"/>
      <c r="BY70" s="20" t="s">
        <v>228</v>
      </c>
      <c r="BZ70" s="49" t="s">
        <v>812</v>
      </c>
      <c r="CA70" s="49"/>
      <c r="CB70" s="49" t="s">
        <v>845</v>
      </c>
      <c r="CC70" s="49" t="s">
        <v>837</v>
      </c>
      <c r="CD70" s="22" t="s">
        <v>513</v>
      </c>
      <c r="CE70" s="22" t="s">
        <v>514</v>
      </c>
      <c r="CF70" s="92" t="s">
        <v>136</v>
      </c>
      <c r="CG70" s="22"/>
      <c r="CH70" s="2"/>
      <c r="CI70" s="2" t="s">
        <v>205</v>
      </c>
      <c r="CJ70" s="2" t="s">
        <v>204</v>
      </c>
      <c r="CK70" s="18" t="s">
        <v>196</v>
      </c>
      <c r="CL70" s="18"/>
      <c r="CM70" s="21" t="s">
        <v>588</v>
      </c>
    </row>
    <row r="71" spans="1:122" s="48" customFormat="1" ht="15" thickBot="1" x14ac:dyDescent="0.4">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2"/>
      <c r="BY71" s="20" t="s">
        <v>228</v>
      </c>
      <c r="BZ71" s="49" t="s">
        <v>812</v>
      </c>
      <c r="CA71" s="49"/>
      <c r="CB71" s="49" t="s">
        <v>845</v>
      </c>
      <c r="CC71" s="49" t="s">
        <v>837</v>
      </c>
      <c r="CD71" s="22" t="s">
        <v>513</v>
      </c>
      <c r="CE71" s="22" t="s">
        <v>514</v>
      </c>
      <c r="CF71" s="92" t="s">
        <v>136</v>
      </c>
      <c r="CG71" s="22"/>
      <c r="CH71" s="2"/>
      <c r="CI71" s="2" t="s">
        <v>205</v>
      </c>
      <c r="CJ71" s="2" t="s">
        <v>204</v>
      </c>
      <c r="CK71" s="18" t="s">
        <v>196</v>
      </c>
      <c r="CL71" s="18"/>
      <c r="CM71" s="21" t="s">
        <v>685</v>
      </c>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c r="DR71" s="88"/>
    </row>
    <row r="72" spans="1:122" s="48" customFormat="1" ht="15" thickBot="1" x14ac:dyDescent="0.4">
      <c r="A72" s="124">
        <v>67</v>
      </c>
      <c r="B72" s="165">
        <v>8</v>
      </c>
      <c r="C72" s="16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2"/>
      <c r="BY72" s="20" t="s">
        <v>228</v>
      </c>
      <c r="BZ72" s="49" t="s">
        <v>170</v>
      </c>
      <c r="CA72" s="49"/>
      <c r="CB72" s="49" t="s">
        <v>845</v>
      </c>
      <c r="CC72" s="49" t="s">
        <v>837</v>
      </c>
      <c r="CD72" s="49" t="s">
        <v>98</v>
      </c>
      <c r="CE72" s="2" t="s">
        <v>286</v>
      </c>
      <c r="CF72" s="92" t="s">
        <v>137</v>
      </c>
      <c r="CG72" s="22"/>
      <c r="CH72" s="2"/>
      <c r="CI72" s="2" t="s">
        <v>205</v>
      </c>
      <c r="CJ72" s="2" t="s">
        <v>204</v>
      </c>
      <c r="CK72" s="18" t="s">
        <v>196</v>
      </c>
      <c r="CL72" s="18" t="s">
        <v>731</v>
      </c>
      <c r="CM72" s="21" t="s">
        <v>670</v>
      </c>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c r="DR72" s="88"/>
    </row>
    <row r="73" spans="1:122" s="48" customFormat="1" x14ac:dyDescent="0.35">
      <c r="A73" s="124">
        <v>68</v>
      </c>
      <c r="B73" s="136">
        <v>1</v>
      </c>
      <c r="C73" s="35">
        <v>20240409</v>
      </c>
      <c r="D73" s="35">
        <v>20240429</v>
      </c>
      <c r="E73" s="35" t="s">
        <v>13</v>
      </c>
      <c r="F73" s="90">
        <v>124</v>
      </c>
      <c r="G73" s="35">
        <v>4800925</v>
      </c>
      <c r="H73" s="35" t="s">
        <v>15</v>
      </c>
      <c r="I73" s="37" t="s">
        <v>667</v>
      </c>
      <c r="J73" s="3">
        <v>29.1</v>
      </c>
      <c r="K73" s="3">
        <v>25.3</v>
      </c>
      <c r="L73" s="35">
        <v>44.484299999999998</v>
      </c>
      <c r="M73" s="35">
        <v>-63.396900000000002</v>
      </c>
      <c r="N73" s="137">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8"/>
      <c r="BY73" s="34" t="s">
        <v>228</v>
      </c>
      <c r="BZ73" s="96" t="s">
        <v>170</v>
      </c>
      <c r="CA73" s="96"/>
      <c r="CB73" s="96" t="s">
        <v>845</v>
      </c>
      <c r="CC73" s="49" t="s">
        <v>837</v>
      </c>
      <c r="CD73" s="38" t="s">
        <v>513</v>
      </c>
      <c r="CE73" s="38" t="s">
        <v>514</v>
      </c>
      <c r="CF73" s="92" t="s">
        <v>136</v>
      </c>
      <c r="CG73" s="38"/>
      <c r="CH73" s="3" t="s">
        <v>672</v>
      </c>
      <c r="CI73" s="3" t="s">
        <v>668</v>
      </c>
      <c r="CJ73" s="3" t="s">
        <v>204</v>
      </c>
      <c r="CK73" s="37" t="s">
        <v>196</v>
      </c>
      <c r="CL73" s="37"/>
      <c r="CM73" s="43" t="s">
        <v>671</v>
      </c>
    </row>
    <row r="74" spans="1:122" s="48" customFormat="1" x14ac:dyDescent="0.35">
      <c r="A74" s="124">
        <v>69</v>
      </c>
      <c r="B74" s="136">
        <v>2</v>
      </c>
      <c r="C74" s="35">
        <v>20240514</v>
      </c>
      <c r="D74" s="35">
        <v>20240604</v>
      </c>
      <c r="E74" s="35" t="s">
        <v>13</v>
      </c>
      <c r="F74" s="90">
        <v>127</v>
      </c>
      <c r="G74" s="35">
        <v>4800925</v>
      </c>
      <c r="H74" s="35" t="s">
        <v>15</v>
      </c>
      <c r="I74" s="37" t="s">
        <v>674</v>
      </c>
      <c r="J74" s="3">
        <v>29.2</v>
      </c>
      <c r="K74" s="3">
        <v>25.5</v>
      </c>
      <c r="L74" s="35">
        <v>44.384300000000003</v>
      </c>
      <c r="M74" s="35">
        <v>-63.363999999999997</v>
      </c>
      <c r="N74" s="137">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8"/>
      <c r="BY74" s="34" t="s">
        <v>228</v>
      </c>
      <c r="BZ74" s="96" t="s">
        <v>170</v>
      </c>
      <c r="CA74" s="96"/>
      <c r="CB74" s="96" t="s">
        <v>845</v>
      </c>
      <c r="CC74" s="49" t="s">
        <v>837</v>
      </c>
      <c r="CD74" s="38" t="s">
        <v>513</v>
      </c>
      <c r="CE74" s="38" t="s">
        <v>514</v>
      </c>
      <c r="CF74" s="92" t="s">
        <v>136</v>
      </c>
      <c r="CG74" s="38"/>
      <c r="CH74" s="3"/>
      <c r="CI74" s="3" t="s">
        <v>668</v>
      </c>
      <c r="CJ74" s="3" t="s">
        <v>204</v>
      </c>
      <c r="CK74" s="37" t="s">
        <v>196</v>
      </c>
      <c r="CL74" s="37"/>
      <c r="CM74" s="43" t="s">
        <v>678</v>
      </c>
    </row>
    <row r="75" spans="1:122" s="48" customFormat="1" x14ac:dyDescent="0.35">
      <c r="A75" s="124">
        <v>70</v>
      </c>
      <c r="B75" s="136">
        <v>3</v>
      </c>
      <c r="C75" s="35">
        <v>20240606</v>
      </c>
      <c r="D75" s="35">
        <v>20240617</v>
      </c>
      <c r="E75" s="35" t="s">
        <v>44</v>
      </c>
      <c r="F75" s="90">
        <v>99</v>
      </c>
      <c r="G75" s="35">
        <v>4800993</v>
      </c>
      <c r="H75" s="35" t="s">
        <v>828</v>
      </c>
      <c r="I75" s="37" t="s">
        <v>679</v>
      </c>
      <c r="J75" s="3">
        <v>29.1</v>
      </c>
      <c r="K75" s="3">
        <v>26.1</v>
      </c>
      <c r="L75" s="35">
        <v>48.718699999999998</v>
      </c>
      <c r="M75" s="35">
        <v>-53.002899999999997</v>
      </c>
      <c r="N75" s="137">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c r="BR75" s="38" t="s">
        <v>366</v>
      </c>
      <c r="BS75" s="38" t="s">
        <v>367</v>
      </c>
      <c r="BT75" s="38" t="s">
        <v>164</v>
      </c>
      <c r="BU75" s="38"/>
      <c r="BV75" s="38"/>
      <c r="BW75" s="38"/>
      <c r="BX75" s="38"/>
      <c r="BY75" s="34" t="s">
        <v>228</v>
      </c>
      <c r="BZ75" s="96" t="s">
        <v>170</v>
      </c>
      <c r="CA75" s="96"/>
      <c r="CB75" s="96" t="s">
        <v>845</v>
      </c>
      <c r="CC75" s="49" t="s">
        <v>837</v>
      </c>
      <c r="CD75" s="38" t="s">
        <v>95</v>
      </c>
      <c r="CE75" s="38" t="s">
        <v>586</v>
      </c>
      <c r="CF75" s="38"/>
      <c r="CG75" s="38"/>
      <c r="CH75" s="3"/>
      <c r="CI75" s="3" t="s">
        <v>209</v>
      </c>
      <c r="CJ75" s="3" t="s">
        <v>204</v>
      </c>
      <c r="CK75" s="37" t="s">
        <v>681</v>
      </c>
      <c r="CL75" s="37"/>
      <c r="CM75" s="43" t="s">
        <v>683</v>
      </c>
    </row>
    <row r="76" spans="1:122" s="48" customFormat="1" x14ac:dyDescent="0.35">
      <c r="A76" s="124">
        <v>71</v>
      </c>
      <c r="B76" s="136">
        <v>4</v>
      </c>
      <c r="C76" s="35">
        <v>20240617</v>
      </c>
      <c r="D76" s="35">
        <v>20240709</v>
      </c>
      <c r="E76" s="35" t="s">
        <v>13</v>
      </c>
      <c r="F76" s="90">
        <v>129</v>
      </c>
      <c r="G76" s="35">
        <v>4800925</v>
      </c>
      <c r="H76" s="35" t="s">
        <v>15</v>
      </c>
      <c r="I76" s="37" t="s">
        <v>680</v>
      </c>
      <c r="J76" s="3">
        <v>29.1</v>
      </c>
      <c r="K76" s="3">
        <v>24.9</v>
      </c>
      <c r="L76" s="35">
        <v>44.385199999999998</v>
      </c>
      <c r="M76" s="35">
        <v>-63.339399999999998</v>
      </c>
      <c r="N76" s="137">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8"/>
      <c r="BY76" s="34" t="s">
        <v>228</v>
      </c>
      <c r="BZ76" s="96" t="s">
        <v>170</v>
      </c>
      <c r="CA76" s="96"/>
      <c r="CB76" s="96" t="s">
        <v>845</v>
      </c>
      <c r="CC76" s="49" t="s">
        <v>837</v>
      </c>
      <c r="CD76" s="38" t="s">
        <v>117</v>
      </c>
      <c r="CE76" s="38" t="s">
        <v>587</v>
      </c>
      <c r="CF76" s="92" t="s">
        <v>136</v>
      </c>
      <c r="CG76" s="38"/>
      <c r="CH76" s="3"/>
      <c r="CI76" s="3" t="s">
        <v>668</v>
      </c>
      <c r="CJ76" s="3" t="s">
        <v>204</v>
      </c>
      <c r="CK76" s="37" t="s">
        <v>196</v>
      </c>
      <c r="CL76" s="37"/>
      <c r="CM76" s="43"/>
    </row>
    <row r="77" spans="1:122" s="48" customFormat="1" x14ac:dyDescent="0.35">
      <c r="A77" s="124">
        <v>72</v>
      </c>
      <c r="B77" s="136">
        <v>5</v>
      </c>
      <c r="C77" s="35">
        <v>20240910</v>
      </c>
      <c r="D77" s="35">
        <v>20241005</v>
      </c>
      <c r="E77" s="35" t="s">
        <v>24</v>
      </c>
      <c r="F77" s="90">
        <v>80</v>
      </c>
      <c r="G77" s="35">
        <v>4800926</v>
      </c>
      <c r="H77" s="35" t="s">
        <v>15</v>
      </c>
      <c r="I77" s="37" t="s">
        <v>687</v>
      </c>
      <c r="J77" s="3">
        <v>29.2</v>
      </c>
      <c r="K77" s="3">
        <v>25.8</v>
      </c>
      <c r="L77" s="35">
        <v>44.483199999999997</v>
      </c>
      <c r="M77" s="35">
        <v>-63.394300000000001</v>
      </c>
      <c r="N77" s="137">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8"/>
      <c r="BY77" s="34" t="s">
        <v>228</v>
      </c>
      <c r="BZ77" s="96" t="s">
        <v>812</v>
      </c>
      <c r="CA77" s="96"/>
      <c r="CB77" s="96" t="s">
        <v>845</v>
      </c>
      <c r="CC77" s="49" t="s">
        <v>837</v>
      </c>
      <c r="CD77" s="38" t="s">
        <v>98</v>
      </c>
      <c r="CE77" s="38" t="s">
        <v>286</v>
      </c>
      <c r="CF77" s="92" t="s">
        <v>137</v>
      </c>
      <c r="CG77" s="3">
        <v>1540746</v>
      </c>
      <c r="CH77" s="3"/>
      <c r="CI77" s="3" t="s">
        <v>668</v>
      </c>
      <c r="CJ77" s="3" t="s">
        <v>204</v>
      </c>
      <c r="CK77" s="37" t="s">
        <v>697</v>
      </c>
      <c r="CL77" s="37" t="s">
        <v>732</v>
      </c>
      <c r="CM77" s="43" t="s">
        <v>735</v>
      </c>
    </row>
    <row r="78" spans="1:122" s="48" customFormat="1" x14ac:dyDescent="0.35">
      <c r="A78" s="124">
        <v>73</v>
      </c>
      <c r="B78" s="136">
        <v>6</v>
      </c>
      <c r="C78" s="35">
        <v>20241004</v>
      </c>
      <c r="D78" s="35">
        <v>20241024</v>
      </c>
      <c r="E78" s="35" t="s">
        <v>53</v>
      </c>
      <c r="F78" s="90">
        <v>87</v>
      </c>
      <c r="G78" s="35">
        <v>4800937</v>
      </c>
      <c r="H78" s="35" t="s">
        <v>15</v>
      </c>
      <c r="I78" s="37" t="s">
        <v>705</v>
      </c>
      <c r="J78" s="3">
        <v>29.1</v>
      </c>
      <c r="K78" s="3">
        <v>25.7</v>
      </c>
      <c r="L78" s="35">
        <v>44.490699999999997</v>
      </c>
      <c r="M78" s="35">
        <v>-63.372999999999998</v>
      </c>
      <c r="N78" s="137">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8"/>
      <c r="BY78" s="34" t="s">
        <v>228</v>
      </c>
      <c r="BZ78" s="96" t="s">
        <v>170</v>
      </c>
      <c r="CA78" s="96"/>
      <c r="CB78" s="96" t="s">
        <v>845</v>
      </c>
      <c r="CC78" s="49" t="s">
        <v>837</v>
      </c>
      <c r="CD78" s="38" t="s">
        <v>117</v>
      </c>
      <c r="CE78" s="38" t="s">
        <v>587</v>
      </c>
      <c r="CF78" s="92" t="s">
        <v>136</v>
      </c>
      <c r="CG78" s="3">
        <v>1272212</v>
      </c>
      <c r="CH78" s="3" t="s">
        <v>703</v>
      </c>
      <c r="CI78" s="3" t="s">
        <v>668</v>
      </c>
      <c r="CJ78" s="3" t="s">
        <v>204</v>
      </c>
      <c r="CK78" s="37" t="s">
        <v>196</v>
      </c>
      <c r="CL78" s="37"/>
      <c r="CM78" s="43" t="s">
        <v>706</v>
      </c>
    </row>
    <row r="79" spans="1:122" s="48" customFormat="1" x14ac:dyDescent="0.35">
      <c r="A79" s="124">
        <v>74</v>
      </c>
      <c r="B79" s="136">
        <v>7</v>
      </c>
      <c r="C79" s="35">
        <v>20241024</v>
      </c>
      <c r="D79" s="35">
        <v>20241119</v>
      </c>
      <c r="E79" s="35" t="s">
        <v>13</v>
      </c>
      <c r="F79" s="90">
        <v>132</v>
      </c>
      <c r="G79" s="35">
        <v>4800925</v>
      </c>
      <c r="H79" s="35" t="s">
        <v>15</v>
      </c>
      <c r="I79" s="37" t="s">
        <v>699</v>
      </c>
      <c r="J79" s="3">
        <v>29.1</v>
      </c>
      <c r="K79" s="3">
        <v>24</v>
      </c>
      <c r="L79" s="142">
        <v>44.273600000000002</v>
      </c>
      <c r="M79" s="142">
        <v>-63.318199999999997</v>
      </c>
      <c r="N79" s="137">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8"/>
      <c r="BY79" s="34" t="s">
        <v>228</v>
      </c>
      <c r="BZ79" s="96" t="s">
        <v>170</v>
      </c>
      <c r="CA79" s="96"/>
      <c r="CB79" s="96" t="s">
        <v>845</v>
      </c>
      <c r="CC79" s="49" t="s">
        <v>837</v>
      </c>
      <c r="CD79" s="38" t="s">
        <v>95</v>
      </c>
      <c r="CE79" s="38" t="s">
        <v>586</v>
      </c>
      <c r="CF79" s="92" t="s">
        <v>137</v>
      </c>
      <c r="CG79" s="38" t="s">
        <v>700</v>
      </c>
      <c r="CH79" s="3" t="s">
        <v>704</v>
      </c>
      <c r="CI79" s="3" t="s">
        <v>668</v>
      </c>
      <c r="CJ79" s="3" t="s">
        <v>204</v>
      </c>
      <c r="CK79" s="37" t="s">
        <v>196</v>
      </c>
      <c r="CL79" s="37"/>
      <c r="CM79" s="43" t="s">
        <v>737</v>
      </c>
    </row>
    <row r="80" spans="1:122" s="48" customFormat="1" ht="15" thickBot="1" x14ac:dyDescent="0.4">
      <c r="A80" s="124">
        <v>75</v>
      </c>
      <c r="B80" s="136">
        <v>8</v>
      </c>
      <c r="C80" s="35">
        <v>20250211</v>
      </c>
      <c r="D80" s="35">
        <v>20250304</v>
      </c>
      <c r="E80" s="35" t="s">
        <v>13</v>
      </c>
      <c r="F80" s="90">
        <v>134</v>
      </c>
      <c r="G80" s="35">
        <v>4800925</v>
      </c>
      <c r="H80" s="35" t="s">
        <v>15</v>
      </c>
      <c r="I80" s="37" t="s">
        <v>738</v>
      </c>
      <c r="J80" s="3">
        <v>29.1</v>
      </c>
      <c r="K80" s="3">
        <v>25.1</v>
      </c>
      <c r="L80" s="35">
        <v>44.488300000000002</v>
      </c>
      <c r="M80" s="35">
        <v>-63.358699999999999</v>
      </c>
      <c r="N80" s="137">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779</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8"/>
      <c r="BY80" s="34" t="s">
        <v>228</v>
      </c>
      <c r="BZ80" s="96" t="s">
        <v>170</v>
      </c>
      <c r="CA80" s="96"/>
      <c r="CB80" s="96" t="s">
        <v>845</v>
      </c>
      <c r="CC80" s="49" t="s">
        <v>837</v>
      </c>
      <c r="CD80" s="38" t="s">
        <v>513</v>
      </c>
      <c r="CE80" s="38" t="s">
        <v>514</v>
      </c>
      <c r="CF80" s="92" t="s">
        <v>137</v>
      </c>
      <c r="CG80" s="38" t="s">
        <v>700</v>
      </c>
      <c r="CH80" s="3" t="s">
        <v>740</v>
      </c>
      <c r="CI80" s="3" t="s">
        <v>668</v>
      </c>
      <c r="CJ80" s="3" t="s">
        <v>204</v>
      </c>
      <c r="CK80" s="37" t="s">
        <v>196</v>
      </c>
      <c r="CL80" s="37" t="s">
        <v>749</v>
      </c>
      <c r="CM80" s="43" t="s">
        <v>763</v>
      </c>
    </row>
    <row r="81" spans="1:91" s="48" customFormat="1" ht="15" thickBot="1" x14ac:dyDescent="0.4">
      <c r="A81" s="124">
        <v>76</v>
      </c>
      <c r="B81" s="166">
        <v>9</v>
      </c>
      <c r="C81" s="120">
        <v>20250304</v>
      </c>
      <c r="D81" s="35">
        <v>20250324</v>
      </c>
      <c r="E81" s="35" t="s">
        <v>44</v>
      </c>
      <c r="F81" s="90">
        <v>104</v>
      </c>
      <c r="G81" s="35">
        <v>4800993</v>
      </c>
      <c r="H81" s="35" t="s">
        <v>15</v>
      </c>
      <c r="I81" s="37" t="s">
        <v>742</v>
      </c>
      <c r="J81" s="3">
        <v>28.9</v>
      </c>
      <c r="K81" s="3">
        <v>23.8</v>
      </c>
      <c r="L81" s="35">
        <v>44.452500000000001</v>
      </c>
      <c r="M81" s="35">
        <v>-63.382199999999997</v>
      </c>
      <c r="N81" s="137">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779</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8"/>
      <c r="BY81" s="34" t="s">
        <v>228</v>
      </c>
      <c r="BZ81" s="96" t="s">
        <v>170</v>
      </c>
      <c r="CA81" s="96"/>
      <c r="CB81" s="96" t="s">
        <v>845</v>
      </c>
      <c r="CC81" s="49" t="s">
        <v>837</v>
      </c>
      <c r="CD81" s="38" t="s">
        <v>95</v>
      </c>
      <c r="CE81" s="38" t="s">
        <v>586</v>
      </c>
      <c r="CF81" s="147" t="s">
        <v>741</v>
      </c>
      <c r="CG81" s="3">
        <v>1540746</v>
      </c>
      <c r="CH81" s="3"/>
      <c r="CI81" s="3" t="s">
        <v>668</v>
      </c>
      <c r="CJ81" s="3" t="s">
        <v>204</v>
      </c>
      <c r="CK81" s="37" t="s">
        <v>756</v>
      </c>
      <c r="CL81" s="37" t="s">
        <v>866</v>
      </c>
      <c r="CM81" s="43" t="s">
        <v>865</v>
      </c>
    </row>
    <row r="82" spans="1:91"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779</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2"/>
      <c r="BY82" s="20" t="s">
        <v>228</v>
      </c>
      <c r="BZ82" s="49" t="s">
        <v>170</v>
      </c>
      <c r="CA82" s="49"/>
      <c r="CB82" s="49" t="s">
        <v>845</v>
      </c>
      <c r="CC82" s="49" t="s">
        <v>837</v>
      </c>
      <c r="CD82" s="22" t="s">
        <v>513</v>
      </c>
      <c r="CE82" s="22" t="s">
        <v>514</v>
      </c>
      <c r="CF82" s="92" t="s">
        <v>765</v>
      </c>
      <c r="CG82" s="2">
        <v>1272212</v>
      </c>
      <c r="CH82" s="157" t="s">
        <v>755</v>
      </c>
      <c r="CI82" s="2" t="s">
        <v>668</v>
      </c>
      <c r="CJ82" s="2" t="s">
        <v>204</v>
      </c>
      <c r="CK82" s="18" t="s">
        <v>766</v>
      </c>
      <c r="CL82" s="18" t="s">
        <v>764</v>
      </c>
      <c r="CM82" s="21" t="s">
        <v>767</v>
      </c>
    </row>
    <row r="83" spans="1:91" s="88" customFormat="1" x14ac:dyDescent="0.35">
      <c r="A83" s="124">
        <v>78</v>
      </c>
      <c r="B83" s="124">
        <v>2</v>
      </c>
      <c r="C83" s="14">
        <v>20250515</v>
      </c>
      <c r="D83" s="14">
        <v>20250606</v>
      </c>
      <c r="E83" s="14" t="s">
        <v>13</v>
      </c>
      <c r="F83" s="90">
        <v>141</v>
      </c>
      <c r="G83" s="14">
        <v>4800925</v>
      </c>
      <c r="H83" s="14" t="s">
        <v>15</v>
      </c>
      <c r="I83" s="18" t="s">
        <v>778</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776</v>
      </c>
      <c r="AE83" s="18"/>
      <c r="AF83" s="18"/>
      <c r="AG83" s="18"/>
      <c r="AH83" s="18"/>
      <c r="AI83" s="18"/>
      <c r="AJ83" s="2">
        <v>0</v>
      </c>
      <c r="AK83" s="2">
        <v>0</v>
      </c>
      <c r="AL83" s="2">
        <v>0</v>
      </c>
      <c r="AM83" s="2">
        <v>1024.3</v>
      </c>
      <c r="AN83" s="18">
        <v>20250514</v>
      </c>
      <c r="AO83" s="18">
        <v>1</v>
      </c>
      <c r="AP83" s="18" t="s">
        <v>750</v>
      </c>
      <c r="AQ83" s="18" t="s">
        <v>777</v>
      </c>
      <c r="AR83" s="14">
        <v>33</v>
      </c>
      <c r="AS83" s="20"/>
      <c r="AT83" s="22"/>
      <c r="AU83" s="22"/>
      <c r="AV83" s="10"/>
      <c r="AW83" s="10"/>
      <c r="AX83" s="22"/>
      <c r="AY83" s="22"/>
      <c r="AZ83" s="22"/>
      <c r="BA83" s="22"/>
      <c r="BB83" s="10">
        <v>4551</v>
      </c>
      <c r="BC83" s="16">
        <v>42691</v>
      </c>
      <c r="BD83" s="22" t="s">
        <v>459</v>
      </c>
      <c r="BE83" s="22"/>
      <c r="BF83" s="22"/>
      <c r="BG83" s="22" t="s">
        <v>760</v>
      </c>
      <c r="BH83" s="22" t="s">
        <v>772</v>
      </c>
      <c r="BI83" s="22" t="s">
        <v>418</v>
      </c>
      <c r="BJ83" s="22" t="s">
        <v>299</v>
      </c>
      <c r="BK83" s="22" t="s">
        <v>769</v>
      </c>
      <c r="BL83" s="22" t="s">
        <v>775</v>
      </c>
      <c r="BM83" s="22"/>
      <c r="BN83" s="22"/>
      <c r="BO83" s="22"/>
      <c r="BP83" s="22"/>
      <c r="BQ83" s="22"/>
      <c r="BR83" s="22"/>
      <c r="BS83" s="22"/>
      <c r="BT83" s="22"/>
      <c r="BU83" s="22"/>
      <c r="BV83" s="22"/>
      <c r="BW83" s="22"/>
      <c r="BX83" s="22"/>
      <c r="BY83" s="20" t="s">
        <v>228</v>
      </c>
      <c r="BZ83" s="49" t="s">
        <v>170</v>
      </c>
      <c r="CA83" s="49"/>
      <c r="CB83" s="49" t="s">
        <v>845</v>
      </c>
      <c r="CC83" s="49" t="s">
        <v>837</v>
      </c>
      <c r="CD83" s="22" t="s">
        <v>95</v>
      </c>
      <c r="CE83" s="22" t="s">
        <v>586</v>
      </c>
      <c r="CF83" s="92" t="s">
        <v>136</v>
      </c>
      <c r="CG83" s="22" t="s">
        <v>700</v>
      </c>
      <c r="CH83" s="2"/>
      <c r="CI83" s="2" t="s">
        <v>668</v>
      </c>
      <c r="CJ83" s="2" t="s">
        <v>204</v>
      </c>
      <c r="CK83" s="18" t="s">
        <v>196</v>
      </c>
      <c r="CL83" s="18"/>
      <c r="CM83" s="21" t="s">
        <v>786</v>
      </c>
    </row>
    <row r="84" spans="1:91" s="88" customFormat="1" x14ac:dyDescent="0.35">
      <c r="A84" s="124">
        <v>79</v>
      </c>
      <c r="B84" s="124">
        <v>3</v>
      </c>
      <c r="C84" s="14">
        <v>20250606</v>
      </c>
      <c r="D84" s="14">
        <v>20250609</v>
      </c>
      <c r="E84" s="14" t="s">
        <v>53</v>
      </c>
      <c r="F84" s="90">
        <v>92</v>
      </c>
      <c r="G84" s="14">
        <v>4800937</v>
      </c>
      <c r="H84" s="14" t="s">
        <v>15</v>
      </c>
      <c r="I84" s="18" t="s">
        <v>792</v>
      </c>
      <c r="J84" s="2">
        <v>29.3</v>
      </c>
      <c r="K84" s="2">
        <v>28.5</v>
      </c>
      <c r="L84" s="14">
        <v>44.387099999999997</v>
      </c>
      <c r="M84" s="14">
        <v>-63.369900000000001</v>
      </c>
      <c r="N84" s="100">
        <v>0.53611111111111109</v>
      </c>
      <c r="O84" s="18">
        <v>44.07</v>
      </c>
      <c r="P84" s="18">
        <v>-63.37</v>
      </c>
      <c r="Q84" s="18">
        <v>44.43</v>
      </c>
      <c r="R84" s="18">
        <v>-63.13</v>
      </c>
      <c r="S84" s="2" t="s">
        <v>784</v>
      </c>
      <c r="T84" s="2">
        <v>3</v>
      </c>
      <c r="U84" s="2">
        <v>83</v>
      </c>
      <c r="V84" s="2">
        <v>136</v>
      </c>
      <c r="W84" s="2">
        <f>V84*2</f>
        <v>272</v>
      </c>
      <c r="X84" s="18" t="s">
        <v>36</v>
      </c>
      <c r="Y84" s="18">
        <v>1</v>
      </c>
      <c r="Z84" s="18"/>
      <c r="AA84" s="18" t="s">
        <v>182</v>
      </c>
      <c r="AB84" s="18"/>
      <c r="AC84" s="18"/>
      <c r="AD84" s="18" t="s">
        <v>776</v>
      </c>
      <c r="AE84" s="18"/>
      <c r="AF84" s="18"/>
      <c r="AG84" s="18"/>
      <c r="AH84" s="18"/>
      <c r="AI84" s="18"/>
      <c r="AJ84" s="2">
        <v>0</v>
      </c>
      <c r="AK84" s="2">
        <v>0</v>
      </c>
      <c r="AL84" s="2">
        <v>0</v>
      </c>
      <c r="AM84" s="2">
        <v>1023.75</v>
      </c>
      <c r="AN84" s="18">
        <v>20250529</v>
      </c>
      <c r="AO84" s="18">
        <v>1</v>
      </c>
      <c r="AP84" s="18" t="s">
        <v>750</v>
      </c>
      <c r="AQ84" s="18" t="s">
        <v>782</v>
      </c>
      <c r="AR84" s="14">
        <v>32</v>
      </c>
      <c r="AS84" s="20"/>
      <c r="AT84" s="22"/>
      <c r="AU84" s="22"/>
      <c r="AV84" s="10"/>
      <c r="AW84" s="10"/>
      <c r="AX84" s="22"/>
      <c r="AY84" s="22"/>
      <c r="AZ84" s="22"/>
      <c r="BA84" s="22"/>
      <c r="BB84" s="20" t="s">
        <v>79</v>
      </c>
      <c r="BC84" s="16">
        <v>42711</v>
      </c>
      <c r="BD84" s="22" t="s">
        <v>459</v>
      </c>
      <c r="BE84" s="22"/>
      <c r="BF84" s="22"/>
      <c r="BG84" s="22" t="s">
        <v>759</v>
      </c>
      <c r="BH84" s="22" t="s">
        <v>780</v>
      </c>
      <c r="BI84" s="22" t="s">
        <v>418</v>
      </c>
      <c r="BJ84" s="22" t="s">
        <v>299</v>
      </c>
      <c r="BK84" s="22" t="s">
        <v>768</v>
      </c>
      <c r="BL84" s="22" t="s">
        <v>781</v>
      </c>
      <c r="BM84" s="22"/>
      <c r="BN84" s="22"/>
      <c r="BO84" s="22"/>
      <c r="BP84" s="22"/>
      <c r="BQ84" s="22"/>
      <c r="BR84" s="22"/>
      <c r="BS84" s="22"/>
      <c r="BT84" s="22"/>
      <c r="BU84" s="22"/>
      <c r="BV84" s="22"/>
      <c r="BW84" s="22"/>
      <c r="BX84" s="22"/>
      <c r="BY84" s="20" t="s">
        <v>228</v>
      </c>
      <c r="BZ84" s="49" t="s">
        <v>170</v>
      </c>
      <c r="CA84" s="49"/>
      <c r="CB84" s="49" t="s">
        <v>845</v>
      </c>
      <c r="CC84" s="49" t="s">
        <v>837</v>
      </c>
      <c r="CD84" s="22" t="s">
        <v>513</v>
      </c>
      <c r="CE84" s="22" t="s">
        <v>514</v>
      </c>
      <c r="CF84" s="92" t="s">
        <v>137</v>
      </c>
      <c r="CG84" s="2">
        <v>1272212</v>
      </c>
      <c r="CH84" s="2"/>
      <c r="CI84" s="2" t="s">
        <v>668</v>
      </c>
      <c r="CJ84" s="2" t="s">
        <v>204</v>
      </c>
      <c r="CK84" s="18" t="s">
        <v>785</v>
      </c>
      <c r="CL84" s="18" t="s">
        <v>787</v>
      </c>
      <c r="CM84" s="21" t="s">
        <v>795</v>
      </c>
    </row>
    <row r="85" spans="1:91" s="88" customFormat="1" x14ac:dyDescent="0.35">
      <c r="A85" s="124">
        <v>79</v>
      </c>
      <c r="B85" s="124">
        <v>3</v>
      </c>
      <c r="C85" s="14">
        <v>20250609</v>
      </c>
      <c r="D85" s="14">
        <v>20250703</v>
      </c>
      <c r="E85" s="14" t="s">
        <v>53</v>
      </c>
      <c r="F85" s="90">
        <v>93</v>
      </c>
      <c r="G85" s="14">
        <v>4800937</v>
      </c>
      <c r="H85" s="14" t="s">
        <v>15</v>
      </c>
      <c r="I85" s="18" t="s">
        <v>793</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776</v>
      </c>
      <c r="AE85" s="18"/>
      <c r="AF85" s="18"/>
      <c r="AG85" s="18"/>
      <c r="AH85" s="18"/>
      <c r="AI85" s="18"/>
      <c r="AJ85" s="2">
        <v>0</v>
      </c>
      <c r="AK85" s="2">
        <v>0</v>
      </c>
      <c r="AL85" s="2">
        <v>0</v>
      </c>
      <c r="AM85" s="2">
        <v>1023.75</v>
      </c>
      <c r="AN85" s="18">
        <v>20250529</v>
      </c>
      <c r="AO85" s="18">
        <v>1</v>
      </c>
      <c r="AP85" s="18" t="s">
        <v>750</v>
      </c>
      <c r="AQ85" s="18" t="s">
        <v>782</v>
      </c>
      <c r="AR85" s="14">
        <v>32</v>
      </c>
      <c r="AS85" s="20"/>
      <c r="AT85" s="22"/>
      <c r="AU85" s="22"/>
      <c r="AV85" s="10"/>
      <c r="AW85" s="10"/>
      <c r="AX85" s="22"/>
      <c r="AY85" s="22"/>
      <c r="AZ85" s="22"/>
      <c r="BA85" s="22"/>
      <c r="BB85" s="20" t="s">
        <v>79</v>
      </c>
      <c r="BC85" s="16">
        <v>42711</v>
      </c>
      <c r="BD85" s="22" t="s">
        <v>459</v>
      </c>
      <c r="BE85" s="22"/>
      <c r="BF85" s="22"/>
      <c r="BG85" s="22" t="s">
        <v>759</v>
      </c>
      <c r="BH85" s="22" t="s">
        <v>780</v>
      </c>
      <c r="BI85" s="22" t="s">
        <v>418</v>
      </c>
      <c r="BJ85" s="22" t="s">
        <v>299</v>
      </c>
      <c r="BK85" s="22" t="s">
        <v>768</v>
      </c>
      <c r="BL85" s="22" t="s">
        <v>781</v>
      </c>
      <c r="BM85" s="22"/>
      <c r="BN85" s="22"/>
      <c r="BO85" s="22"/>
      <c r="BP85" s="22"/>
      <c r="BQ85" s="22"/>
      <c r="BR85" s="22"/>
      <c r="BS85" s="22"/>
      <c r="BT85" s="22"/>
      <c r="BU85" s="22"/>
      <c r="BV85" s="22"/>
      <c r="BW85" s="22"/>
      <c r="BX85" s="22"/>
      <c r="BY85" s="20" t="s">
        <v>228</v>
      </c>
      <c r="BZ85" s="49" t="s">
        <v>170</v>
      </c>
      <c r="CA85" s="49"/>
      <c r="CB85" s="49" t="s">
        <v>845</v>
      </c>
      <c r="CC85" s="49" t="s">
        <v>837</v>
      </c>
      <c r="CD85" s="22" t="s">
        <v>513</v>
      </c>
      <c r="CE85" s="22" t="s">
        <v>514</v>
      </c>
      <c r="CF85" s="92" t="s">
        <v>137</v>
      </c>
      <c r="CG85" s="2">
        <v>1272212</v>
      </c>
      <c r="CH85" s="2"/>
      <c r="CI85" s="2" t="s">
        <v>668</v>
      </c>
      <c r="CJ85" s="2" t="s">
        <v>204</v>
      </c>
      <c r="CK85" s="18" t="s">
        <v>794</v>
      </c>
      <c r="CL85" s="18" t="s">
        <v>788</v>
      </c>
      <c r="CM85" s="21" t="s">
        <v>783</v>
      </c>
    </row>
    <row r="86" spans="1:91" s="88" customFormat="1" x14ac:dyDescent="0.35">
      <c r="A86" s="124">
        <v>80</v>
      </c>
      <c r="B86" s="124">
        <v>4</v>
      </c>
      <c r="C86" s="14">
        <v>20250721</v>
      </c>
      <c r="D86" s="14">
        <v>20250812</v>
      </c>
      <c r="E86" s="14" t="s">
        <v>44</v>
      </c>
      <c r="F86" s="90">
        <v>111</v>
      </c>
      <c r="G86" s="14">
        <v>4800993</v>
      </c>
      <c r="H86" s="14" t="s">
        <v>15</v>
      </c>
      <c r="I86" s="18" t="s">
        <v>796</v>
      </c>
      <c r="J86" s="2">
        <v>29</v>
      </c>
      <c r="K86" s="2">
        <v>23.9</v>
      </c>
      <c r="L86" s="150">
        <v>44.389000000000003</v>
      </c>
      <c r="M86" s="150">
        <v>-63.354599999999998</v>
      </c>
      <c r="N86" s="100">
        <v>0.58194444444444449</v>
      </c>
      <c r="O86" s="18">
        <v>42.47</v>
      </c>
      <c r="P86" s="18">
        <v>-63.39</v>
      </c>
      <c r="Q86" s="18">
        <v>44.51</v>
      </c>
      <c r="R86" s="18">
        <v>-61.44</v>
      </c>
      <c r="S86" s="2" t="s">
        <v>798</v>
      </c>
      <c r="T86" s="2">
        <v>22</v>
      </c>
      <c r="U86" s="2">
        <v>724</v>
      </c>
      <c r="V86" s="2">
        <v>1068</v>
      </c>
      <c r="W86" s="2">
        <f>925*2</f>
        <v>1850</v>
      </c>
      <c r="X86" s="18" t="s">
        <v>36</v>
      </c>
      <c r="Y86" s="18">
        <v>1</v>
      </c>
      <c r="Z86" s="18"/>
      <c r="AA86" s="18" t="s">
        <v>182</v>
      </c>
      <c r="AB86" s="18"/>
      <c r="AC86" s="18"/>
      <c r="AD86" s="18" t="s">
        <v>776</v>
      </c>
      <c r="AE86" s="18"/>
      <c r="AF86" s="18"/>
      <c r="AG86" s="18"/>
      <c r="AH86" s="18"/>
      <c r="AI86" s="18"/>
      <c r="AJ86" s="2">
        <v>2</v>
      </c>
      <c r="AK86" s="2">
        <v>2</v>
      </c>
      <c r="AL86" s="2">
        <v>2</v>
      </c>
      <c r="AM86" s="2">
        <v>1022.25</v>
      </c>
      <c r="AN86" s="18">
        <v>20250620</v>
      </c>
      <c r="AO86" s="18">
        <v>1</v>
      </c>
      <c r="AP86" s="18" t="s">
        <v>750</v>
      </c>
      <c r="AQ86" s="18" t="s">
        <v>782</v>
      </c>
      <c r="AR86" s="14">
        <v>30</v>
      </c>
      <c r="AS86" s="20"/>
      <c r="AT86" s="22"/>
      <c r="AU86" s="22"/>
      <c r="AV86" s="20"/>
      <c r="AW86" s="20"/>
      <c r="AX86" s="22"/>
      <c r="AY86" s="22"/>
      <c r="AZ86" s="22"/>
      <c r="BA86" s="22"/>
      <c r="BB86" s="10">
        <v>4551</v>
      </c>
      <c r="BC86" s="16">
        <v>42691</v>
      </c>
      <c r="BD86" s="22" t="s">
        <v>459</v>
      </c>
      <c r="BE86" s="22"/>
      <c r="BF86" s="22"/>
      <c r="BG86" s="22" t="s">
        <v>758</v>
      </c>
      <c r="BH86" s="22" t="s">
        <v>791</v>
      </c>
      <c r="BI86" s="22" t="s">
        <v>418</v>
      </c>
      <c r="BJ86" s="22" t="s">
        <v>299</v>
      </c>
      <c r="BK86" s="22" t="s">
        <v>790</v>
      </c>
      <c r="BL86" s="22" t="s">
        <v>791</v>
      </c>
      <c r="BM86" s="22"/>
      <c r="BN86" s="22"/>
      <c r="BO86" s="22"/>
      <c r="BP86" s="22"/>
      <c r="BQ86" s="22"/>
      <c r="BR86" s="22"/>
      <c r="BS86" s="22"/>
      <c r="BT86" s="22"/>
      <c r="BU86" s="22"/>
      <c r="BV86" s="22"/>
      <c r="BW86" s="22"/>
      <c r="BX86" s="22"/>
      <c r="BY86" s="20" t="s">
        <v>228</v>
      </c>
      <c r="BZ86" s="49" t="s">
        <v>170</v>
      </c>
      <c r="CA86" s="49"/>
      <c r="CB86" s="49" t="s">
        <v>845</v>
      </c>
      <c r="CC86" s="49" t="s">
        <v>837</v>
      </c>
      <c r="CD86" s="22" t="s">
        <v>95</v>
      </c>
      <c r="CE86" s="22" t="s">
        <v>586</v>
      </c>
      <c r="CF86" s="92" t="s">
        <v>136</v>
      </c>
      <c r="CG86" s="22" t="s">
        <v>700</v>
      </c>
      <c r="CH86" s="2"/>
      <c r="CI86" s="2" t="s">
        <v>668</v>
      </c>
      <c r="CJ86" s="2" t="s">
        <v>204</v>
      </c>
      <c r="CK86" s="18" t="s">
        <v>785</v>
      </c>
      <c r="CL86" s="18" t="s">
        <v>867</v>
      </c>
      <c r="CM86" s="21" t="s">
        <v>864</v>
      </c>
    </row>
    <row r="87" spans="1:91" s="88" customFormat="1" x14ac:dyDescent="0.35">
      <c r="A87" s="124">
        <v>81</v>
      </c>
      <c r="B87" s="124">
        <v>5</v>
      </c>
      <c r="C87" s="14">
        <v>20250904</v>
      </c>
      <c r="D87" s="14">
        <v>20250929</v>
      </c>
      <c r="E87" s="14" t="s">
        <v>53</v>
      </c>
      <c r="F87" s="90">
        <v>95</v>
      </c>
      <c r="G87" s="14">
        <v>4800937</v>
      </c>
      <c r="H87" s="14" t="s">
        <v>15</v>
      </c>
      <c r="I87" s="18" t="s">
        <v>801</v>
      </c>
      <c r="J87" s="2">
        <v>29.1</v>
      </c>
      <c r="K87" s="148">
        <v>25</v>
      </c>
      <c r="L87" s="151">
        <v>44.389499999999998</v>
      </c>
      <c r="M87" s="151">
        <v>-63.362900000000003</v>
      </c>
      <c r="N87" s="149">
        <v>0.56597222222222221</v>
      </c>
      <c r="O87" s="18">
        <v>42.23</v>
      </c>
      <c r="P87" s="18">
        <v>-63.37</v>
      </c>
      <c r="Q87" s="18">
        <v>44.4</v>
      </c>
      <c r="R87" s="18">
        <v>-61.18</v>
      </c>
      <c r="S87" s="2" t="s">
        <v>824</v>
      </c>
      <c r="T87" s="2">
        <v>25</v>
      </c>
      <c r="U87" s="2">
        <v>658</v>
      </c>
      <c r="V87" s="2">
        <v>934</v>
      </c>
      <c r="W87" s="2">
        <f t="shared" ref="W87:W94" si="0">V87*2</f>
        <v>1868</v>
      </c>
      <c r="X87" s="18" t="s">
        <v>36</v>
      </c>
      <c r="Y87" s="18">
        <v>1</v>
      </c>
      <c r="Z87" s="18"/>
      <c r="AA87" s="18" t="s">
        <v>182</v>
      </c>
      <c r="AB87" s="18"/>
      <c r="AC87" s="18"/>
      <c r="AD87" s="18" t="s">
        <v>776</v>
      </c>
      <c r="AE87" s="18"/>
      <c r="AF87" s="18"/>
      <c r="AG87" s="18"/>
      <c r="AH87" s="18"/>
      <c r="AI87" s="18"/>
      <c r="AJ87" s="2">
        <v>4</v>
      </c>
      <c r="AK87" s="2">
        <v>3</v>
      </c>
      <c r="AL87" s="2">
        <v>0.5</v>
      </c>
      <c r="AM87" s="2">
        <v>1022</v>
      </c>
      <c r="AN87" s="18">
        <v>20250811</v>
      </c>
      <c r="AO87" s="18">
        <v>1</v>
      </c>
      <c r="AP87" s="18" t="s">
        <v>750</v>
      </c>
      <c r="AQ87" s="18" t="s">
        <v>782</v>
      </c>
      <c r="AR87" s="14">
        <v>32</v>
      </c>
      <c r="AS87" s="20"/>
      <c r="AT87" s="22"/>
      <c r="AU87" s="22"/>
      <c r="AV87" s="20"/>
      <c r="AW87" s="20"/>
      <c r="AX87" s="22"/>
      <c r="AY87" s="22"/>
      <c r="AZ87" s="22"/>
      <c r="BA87" s="22"/>
      <c r="BB87" s="10" t="s">
        <v>86</v>
      </c>
      <c r="BC87" s="16">
        <v>45629</v>
      </c>
      <c r="BD87" s="22" t="s">
        <v>459</v>
      </c>
      <c r="BE87" s="22"/>
      <c r="BF87" s="22"/>
      <c r="BG87" s="22" t="s">
        <v>757</v>
      </c>
      <c r="BH87" s="22" t="s">
        <v>799</v>
      </c>
      <c r="BI87" s="22" t="s">
        <v>418</v>
      </c>
      <c r="BJ87" s="22" t="s">
        <v>299</v>
      </c>
      <c r="BK87" s="22" t="s">
        <v>789</v>
      </c>
      <c r="BL87" s="22" t="s">
        <v>791</v>
      </c>
      <c r="BM87" s="22"/>
      <c r="BN87" s="22"/>
      <c r="BO87" s="22"/>
      <c r="BP87" s="22"/>
      <c r="BQ87" s="22"/>
      <c r="BR87" s="22"/>
      <c r="BS87" s="22"/>
      <c r="BT87" s="22"/>
      <c r="BU87" s="22"/>
      <c r="BV87" s="22"/>
      <c r="BW87" s="22"/>
      <c r="BX87" s="22"/>
      <c r="BY87" s="20" t="s">
        <v>228</v>
      </c>
      <c r="BZ87" s="49" t="s">
        <v>170</v>
      </c>
      <c r="CA87" s="49"/>
      <c r="CB87" s="49" t="s">
        <v>845</v>
      </c>
      <c r="CC87" s="49" t="s">
        <v>837</v>
      </c>
      <c r="CD87" s="22" t="s">
        <v>98</v>
      </c>
      <c r="CE87" s="22" t="s">
        <v>747</v>
      </c>
      <c r="CF87" s="92" t="s">
        <v>137</v>
      </c>
      <c r="CG87" s="157">
        <v>1272212</v>
      </c>
      <c r="CH87" s="2"/>
      <c r="CI87" s="2" t="s">
        <v>668</v>
      </c>
      <c r="CJ87" s="2" t="s">
        <v>204</v>
      </c>
      <c r="CK87" s="18" t="s">
        <v>794</v>
      </c>
      <c r="CL87" s="18"/>
      <c r="CM87" s="21" t="s">
        <v>810</v>
      </c>
    </row>
    <row r="88" spans="1:91" s="88" customFormat="1" x14ac:dyDescent="0.35">
      <c r="A88" s="124">
        <v>82</v>
      </c>
      <c r="B88" s="124">
        <v>6</v>
      </c>
      <c r="C88" s="14">
        <v>20251006</v>
      </c>
      <c r="D88" s="14">
        <v>20251027</v>
      </c>
      <c r="E88" s="14" t="s">
        <v>44</v>
      </c>
      <c r="F88" s="90">
        <v>115</v>
      </c>
      <c r="G88" s="14">
        <v>4800993</v>
      </c>
      <c r="H88" s="14" t="s">
        <v>15</v>
      </c>
      <c r="I88" s="18" t="s">
        <v>816</v>
      </c>
      <c r="J88" s="2">
        <v>29.2</v>
      </c>
      <c r="K88" s="2">
        <v>23.6</v>
      </c>
      <c r="L88" s="11">
        <v>44.476999999999997</v>
      </c>
      <c r="M88" s="11">
        <v>-63.432499999999997</v>
      </c>
      <c r="N88" s="100">
        <v>0.55694444444444446</v>
      </c>
      <c r="O88" s="18">
        <v>42.46</v>
      </c>
      <c r="P88" s="18">
        <v>-63.44</v>
      </c>
      <c r="Q88" s="18">
        <v>44.54</v>
      </c>
      <c r="R88" s="18">
        <v>-61.42</v>
      </c>
      <c r="S88" s="2" t="s">
        <v>814</v>
      </c>
      <c r="T88" s="2">
        <v>21</v>
      </c>
      <c r="U88" s="2">
        <v>708</v>
      </c>
      <c r="V88" s="2">
        <v>1174</v>
      </c>
      <c r="W88" s="2">
        <f t="shared" si="0"/>
        <v>2348</v>
      </c>
      <c r="X88" s="18" t="s">
        <v>36</v>
      </c>
      <c r="Y88" s="18">
        <v>1</v>
      </c>
      <c r="Z88" s="18"/>
      <c r="AA88" s="18" t="s">
        <v>182</v>
      </c>
      <c r="AB88" s="18"/>
      <c r="AC88" s="18"/>
      <c r="AD88" s="18" t="s">
        <v>776</v>
      </c>
      <c r="AE88" s="18"/>
      <c r="AF88" s="18"/>
      <c r="AG88" s="18"/>
      <c r="AH88" s="18"/>
      <c r="AI88" s="18"/>
      <c r="AJ88" s="2">
        <v>0</v>
      </c>
      <c r="AK88" s="2">
        <v>0</v>
      </c>
      <c r="AL88" s="2">
        <v>0</v>
      </c>
      <c r="AM88" s="2">
        <v>1022.5</v>
      </c>
      <c r="AN88" s="18">
        <v>20250908</v>
      </c>
      <c r="AO88" s="18">
        <v>1</v>
      </c>
      <c r="AP88" s="18" t="s">
        <v>750</v>
      </c>
      <c r="AQ88" s="18" t="s">
        <v>782</v>
      </c>
      <c r="AR88" s="14">
        <v>30</v>
      </c>
      <c r="AS88" s="20"/>
      <c r="AT88" s="22"/>
      <c r="AU88" s="22"/>
      <c r="AV88" s="20"/>
      <c r="AW88" s="20"/>
      <c r="AX88" s="22"/>
      <c r="AY88" s="22"/>
      <c r="AZ88" s="22"/>
      <c r="BA88" s="22"/>
      <c r="BB88" s="10">
        <v>4551</v>
      </c>
      <c r="BC88" s="16">
        <v>42691</v>
      </c>
      <c r="BD88" s="22" t="s">
        <v>459</v>
      </c>
      <c r="BE88" s="22"/>
      <c r="BF88" s="22"/>
      <c r="BG88" s="22" t="s">
        <v>758</v>
      </c>
      <c r="BH88" s="22" t="s">
        <v>791</v>
      </c>
      <c r="BI88" s="22" t="s">
        <v>418</v>
      </c>
      <c r="BJ88" s="22" t="s">
        <v>299</v>
      </c>
      <c r="BK88" s="22" t="s">
        <v>790</v>
      </c>
      <c r="BL88" s="22" t="s">
        <v>791</v>
      </c>
      <c r="BM88" s="22"/>
      <c r="BN88" s="22"/>
      <c r="BO88" s="22"/>
      <c r="BP88" s="22"/>
      <c r="BQ88" s="22"/>
      <c r="BR88" s="22"/>
      <c r="BS88" s="22"/>
      <c r="BT88" s="22"/>
      <c r="BU88" s="22"/>
      <c r="BV88" s="22"/>
      <c r="BW88" s="22"/>
      <c r="BX88" s="22"/>
      <c r="BY88" s="20" t="s">
        <v>228</v>
      </c>
      <c r="BZ88" s="49" t="s">
        <v>170</v>
      </c>
      <c r="CA88" s="49"/>
      <c r="CB88" s="49" t="s">
        <v>845</v>
      </c>
      <c r="CC88" s="49" t="s">
        <v>837</v>
      </c>
      <c r="CD88" s="22" t="s">
        <v>513</v>
      </c>
      <c r="CE88" s="22" t="s">
        <v>514</v>
      </c>
      <c r="CF88" s="92" t="s">
        <v>136</v>
      </c>
      <c r="CG88" s="22" t="s">
        <v>803</v>
      </c>
      <c r="CH88" s="2" t="s">
        <v>811</v>
      </c>
      <c r="CI88" s="2" t="s">
        <v>668</v>
      </c>
      <c r="CJ88" s="2" t="s">
        <v>204</v>
      </c>
      <c r="CK88" s="18" t="s">
        <v>196</v>
      </c>
      <c r="CL88" s="18" t="s">
        <v>867</v>
      </c>
      <c r="CM88" s="21" t="s">
        <v>863</v>
      </c>
    </row>
    <row r="89" spans="1:91" s="88" customFormat="1" x14ac:dyDescent="0.35">
      <c r="A89" s="124">
        <v>83</v>
      </c>
      <c r="B89" s="124">
        <v>7</v>
      </c>
      <c r="C89" s="14">
        <v>20251027</v>
      </c>
      <c r="D89" s="14">
        <v>20251120</v>
      </c>
      <c r="E89" s="14" t="s">
        <v>53</v>
      </c>
      <c r="F89" s="90">
        <v>97</v>
      </c>
      <c r="G89" s="14">
        <v>4800937</v>
      </c>
      <c r="H89" s="14" t="s">
        <v>15</v>
      </c>
      <c r="I89" s="18" t="s">
        <v>813</v>
      </c>
      <c r="J89" s="2">
        <v>29.2</v>
      </c>
      <c r="K89" s="2">
        <v>25.2</v>
      </c>
      <c r="L89" s="14">
        <v>44.5152</v>
      </c>
      <c r="M89" s="14">
        <v>-63.418599999999998</v>
      </c>
      <c r="N89" s="100">
        <v>0.55069444444444449</v>
      </c>
      <c r="O89" s="18">
        <v>42.46</v>
      </c>
      <c r="P89" s="18">
        <v>-63.38</v>
      </c>
      <c r="Q89" s="18">
        <v>44.52</v>
      </c>
      <c r="R89" s="18">
        <v>-61.41</v>
      </c>
      <c r="S89" s="2" t="s">
        <v>798</v>
      </c>
      <c r="T89" s="2">
        <v>24</v>
      </c>
      <c r="U89" s="2">
        <v>662</v>
      </c>
      <c r="V89" s="2">
        <v>958</v>
      </c>
      <c r="W89" s="2">
        <f t="shared" si="0"/>
        <v>1916</v>
      </c>
      <c r="X89" s="18" t="s">
        <v>36</v>
      </c>
      <c r="Y89" s="18">
        <v>1</v>
      </c>
      <c r="Z89" s="18"/>
      <c r="AA89" s="18" t="s">
        <v>182</v>
      </c>
      <c r="AB89" s="18"/>
      <c r="AC89" s="18"/>
      <c r="AD89" s="18" t="s">
        <v>776</v>
      </c>
      <c r="AE89" s="18"/>
      <c r="AF89" s="18"/>
      <c r="AG89" s="18"/>
      <c r="AH89" s="18"/>
      <c r="AI89" s="18"/>
      <c r="AJ89" s="2">
        <v>0</v>
      </c>
      <c r="AK89" s="2">
        <v>0</v>
      </c>
      <c r="AL89" s="2">
        <v>0</v>
      </c>
      <c r="AM89" s="2">
        <v>1023</v>
      </c>
      <c r="AN89" s="18">
        <v>20251014</v>
      </c>
      <c r="AO89" s="18">
        <v>1</v>
      </c>
      <c r="AP89" s="18" t="s">
        <v>750</v>
      </c>
      <c r="AQ89" s="18" t="s">
        <v>782</v>
      </c>
      <c r="AR89" s="14">
        <v>32</v>
      </c>
      <c r="AS89" s="20"/>
      <c r="AT89" s="22"/>
      <c r="AU89" s="22"/>
      <c r="AV89" s="20"/>
      <c r="AW89" s="20"/>
      <c r="AX89" s="22"/>
      <c r="AY89" s="22"/>
      <c r="AZ89" s="22"/>
      <c r="BA89" s="22"/>
      <c r="BB89" s="10" t="s">
        <v>86</v>
      </c>
      <c r="BC89" s="16">
        <v>45629</v>
      </c>
      <c r="BD89" s="22" t="s">
        <v>459</v>
      </c>
      <c r="BE89" s="22"/>
      <c r="BF89" s="22"/>
      <c r="BG89" s="22" t="s">
        <v>757</v>
      </c>
      <c r="BH89" s="22" t="s">
        <v>799</v>
      </c>
      <c r="BI89" s="22" t="s">
        <v>418</v>
      </c>
      <c r="BJ89" s="22" t="s">
        <v>299</v>
      </c>
      <c r="BK89" s="22" t="s">
        <v>789</v>
      </c>
      <c r="BL89" s="22" t="s">
        <v>791</v>
      </c>
      <c r="BM89" s="22"/>
      <c r="BN89" s="22"/>
      <c r="BO89" s="22"/>
      <c r="BP89" s="22"/>
      <c r="BQ89" s="22"/>
      <c r="BR89" s="22"/>
      <c r="BS89" s="22"/>
      <c r="BT89" s="22"/>
      <c r="BU89" s="22"/>
      <c r="BV89" s="22"/>
      <c r="BW89" s="22"/>
      <c r="BX89" s="22"/>
      <c r="BY89" s="20" t="s">
        <v>228</v>
      </c>
      <c r="BZ89" s="49" t="s">
        <v>170</v>
      </c>
      <c r="CA89" s="49"/>
      <c r="CB89" s="49" t="s">
        <v>845</v>
      </c>
      <c r="CC89" s="49" t="s">
        <v>837</v>
      </c>
      <c r="CD89" s="22" t="s">
        <v>95</v>
      </c>
      <c r="CE89" s="22" t="s">
        <v>586</v>
      </c>
      <c r="CF89" s="92" t="s">
        <v>137</v>
      </c>
      <c r="CG89" s="2">
        <v>1272212</v>
      </c>
      <c r="CH89" s="2"/>
      <c r="CI89" s="2" t="s">
        <v>668</v>
      </c>
      <c r="CJ89" s="2" t="s">
        <v>204</v>
      </c>
      <c r="CK89" s="18" t="s">
        <v>196</v>
      </c>
      <c r="CL89" s="18"/>
      <c r="CM89" s="21" t="s">
        <v>817</v>
      </c>
    </row>
    <row r="90" spans="1:91" s="88" customFormat="1" x14ac:dyDescent="0.35">
      <c r="A90" s="124">
        <v>84</v>
      </c>
      <c r="B90" s="124">
        <v>8</v>
      </c>
      <c r="C90" s="14">
        <v>20251125</v>
      </c>
      <c r="D90" s="14">
        <v>20251218</v>
      </c>
      <c r="E90" s="14" t="s">
        <v>53</v>
      </c>
      <c r="F90" s="90">
        <v>98</v>
      </c>
      <c r="G90" s="14">
        <v>4800937</v>
      </c>
      <c r="H90" s="14" t="s">
        <v>15</v>
      </c>
      <c r="I90" s="18" t="s">
        <v>818</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 t="shared" si="0"/>
        <v>2404</v>
      </c>
      <c r="X90" s="18" t="s">
        <v>36</v>
      </c>
      <c r="Y90" s="18">
        <v>1</v>
      </c>
      <c r="Z90" s="18"/>
      <c r="AA90" s="18" t="s">
        <v>182</v>
      </c>
      <c r="AB90" s="18"/>
      <c r="AC90" s="18"/>
      <c r="AD90" s="18" t="s">
        <v>776</v>
      </c>
      <c r="AE90" s="18"/>
      <c r="AF90" s="18"/>
      <c r="AG90" s="18"/>
      <c r="AH90" s="18"/>
      <c r="AI90" s="18"/>
      <c r="AJ90" s="2">
        <v>0</v>
      </c>
      <c r="AK90" s="2">
        <v>0</v>
      </c>
      <c r="AL90" s="2">
        <v>0</v>
      </c>
      <c r="AM90" s="2">
        <v>1023</v>
      </c>
      <c r="AN90" s="18">
        <v>20251014</v>
      </c>
      <c r="AO90" s="18">
        <v>1</v>
      </c>
      <c r="AP90" s="18" t="s">
        <v>750</v>
      </c>
      <c r="AQ90" s="18" t="s">
        <v>782</v>
      </c>
      <c r="AR90" s="14">
        <v>32</v>
      </c>
      <c r="AS90" s="20"/>
      <c r="AT90" s="22"/>
      <c r="AU90" s="22"/>
      <c r="AV90" s="20"/>
      <c r="AW90" s="20"/>
      <c r="AX90" s="22"/>
      <c r="AY90" s="22"/>
      <c r="AZ90" s="22"/>
      <c r="BA90" s="22"/>
      <c r="BB90" s="10" t="s">
        <v>86</v>
      </c>
      <c r="BC90" s="16">
        <v>45629</v>
      </c>
      <c r="BD90" s="22" t="s">
        <v>459</v>
      </c>
      <c r="BE90" s="22"/>
      <c r="BF90" s="22"/>
      <c r="BG90" s="22" t="s">
        <v>757</v>
      </c>
      <c r="BH90" s="22" t="s">
        <v>799</v>
      </c>
      <c r="BI90" s="22" t="s">
        <v>418</v>
      </c>
      <c r="BJ90" s="22" t="s">
        <v>299</v>
      </c>
      <c r="BK90" s="22" t="s">
        <v>789</v>
      </c>
      <c r="BL90" s="22" t="s">
        <v>791</v>
      </c>
      <c r="BM90" s="22"/>
      <c r="BN90" s="22"/>
      <c r="BO90" s="22"/>
      <c r="BP90" s="22"/>
      <c r="BQ90" s="22"/>
      <c r="BR90" s="22"/>
      <c r="BS90" s="22"/>
      <c r="BT90" s="22"/>
      <c r="BU90" s="22"/>
      <c r="BV90" s="22"/>
      <c r="BW90" s="22"/>
      <c r="BX90" s="22"/>
      <c r="BY90" s="20" t="s">
        <v>228</v>
      </c>
      <c r="BZ90" s="49" t="s">
        <v>170</v>
      </c>
      <c r="CA90" s="49"/>
      <c r="CB90" s="49" t="s">
        <v>845</v>
      </c>
      <c r="CC90" s="49" t="s">
        <v>837</v>
      </c>
      <c r="CD90" s="22" t="s">
        <v>95</v>
      </c>
      <c r="CE90" s="22" t="s">
        <v>586</v>
      </c>
      <c r="CF90" s="92" t="s">
        <v>137</v>
      </c>
      <c r="CG90" s="2">
        <v>1272212</v>
      </c>
      <c r="CH90" s="2"/>
      <c r="CI90" s="2" t="s">
        <v>668</v>
      </c>
      <c r="CJ90" s="2" t="s">
        <v>204</v>
      </c>
      <c r="CK90" s="18" t="s">
        <v>196</v>
      </c>
      <c r="CL90" s="18"/>
      <c r="CM90" s="21" t="s">
        <v>819</v>
      </c>
    </row>
    <row r="91" spans="1:91" s="88" customFormat="1" ht="15" thickBot="1" x14ac:dyDescent="0.4">
      <c r="A91" s="124">
        <v>85</v>
      </c>
      <c r="B91" s="124">
        <v>9</v>
      </c>
      <c r="C91" s="14">
        <v>20260129</v>
      </c>
      <c r="D91" s="14">
        <v>20260217</v>
      </c>
      <c r="E91" s="14" t="s">
        <v>53</v>
      </c>
      <c r="F91" s="14">
        <v>100</v>
      </c>
      <c r="G91" s="14">
        <v>4800937</v>
      </c>
      <c r="H91" s="14" t="s">
        <v>15</v>
      </c>
      <c r="I91" s="18" t="s">
        <v>823</v>
      </c>
      <c r="J91" s="2">
        <v>29.1</v>
      </c>
      <c r="K91" s="2">
        <v>25.4</v>
      </c>
      <c r="L91" s="14">
        <v>44.473799999999997</v>
      </c>
      <c r="M91" s="14">
        <v>-63.398800000000001</v>
      </c>
      <c r="N91" s="100">
        <v>0.57916666666666672</v>
      </c>
      <c r="O91" s="18">
        <v>42.59</v>
      </c>
      <c r="P91" s="18">
        <v>-63.41</v>
      </c>
      <c r="Q91" s="18">
        <v>44.51</v>
      </c>
      <c r="R91" s="18">
        <v>-61.56</v>
      </c>
      <c r="S91" s="2" t="s">
        <v>830</v>
      </c>
      <c r="T91" s="2">
        <v>19</v>
      </c>
      <c r="U91" s="2">
        <v>543</v>
      </c>
      <c r="V91" s="2">
        <v>948</v>
      </c>
      <c r="W91" s="2">
        <f t="shared" si="0"/>
        <v>1896</v>
      </c>
      <c r="X91" s="18" t="s">
        <v>36</v>
      </c>
      <c r="Y91" s="18">
        <v>1</v>
      </c>
      <c r="Z91" s="18"/>
      <c r="AA91" s="18" t="s">
        <v>182</v>
      </c>
      <c r="AB91" s="18"/>
      <c r="AC91" s="18"/>
      <c r="AD91" s="18" t="s">
        <v>776</v>
      </c>
      <c r="AE91" s="18"/>
      <c r="AF91" s="18"/>
      <c r="AG91" s="18"/>
      <c r="AH91" s="18"/>
      <c r="AI91" s="18"/>
      <c r="AJ91" s="2">
        <v>1</v>
      </c>
      <c r="AK91" s="2">
        <v>1</v>
      </c>
      <c r="AL91" s="2">
        <v>0.5</v>
      </c>
      <c r="AM91" s="2">
        <v>1024.5999999999999</v>
      </c>
      <c r="AN91" s="18">
        <v>20250108</v>
      </c>
      <c r="AO91" s="18">
        <v>1</v>
      </c>
      <c r="AP91" s="18" t="s">
        <v>750</v>
      </c>
      <c r="AQ91" s="18" t="s">
        <v>782</v>
      </c>
      <c r="AR91" s="14">
        <v>32</v>
      </c>
      <c r="AS91" s="20"/>
      <c r="AT91" s="22"/>
      <c r="AU91" s="22"/>
      <c r="AV91" s="20"/>
      <c r="AW91" s="20"/>
      <c r="AX91" s="22"/>
      <c r="AY91" s="22"/>
      <c r="AZ91" s="22"/>
      <c r="BA91" s="22"/>
      <c r="BB91" s="10" t="s">
        <v>86</v>
      </c>
      <c r="BC91" s="16">
        <v>45629</v>
      </c>
      <c r="BD91" s="22" t="s">
        <v>459</v>
      </c>
      <c r="BE91" s="22"/>
      <c r="BF91" s="22"/>
      <c r="BG91" s="22" t="s">
        <v>757</v>
      </c>
      <c r="BH91" s="22" t="s">
        <v>799</v>
      </c>
      <c r="BI91" s="22" t="s">
        <v>418</v>
      </c>
      <c r="BJ91" s="22" t="s">
        <v>299</v>
      </c>
      <c r="BK91" s="22" t="s">
        <v>789</v>
      </c>
      <c r="BL91" s="22" t="s">
        <v>791</v>
      </c>
      <c r="BM91" s="22"/>
      <c r="BN91" s="22"/>
      <c r="BO91" s="22"/>
      <c r="BP91" s="22"/>
      <c r="BQ91" s="22"/>
      <c r="BR91" s="22"/>
      <c r="BS91" s="22"/>
      <c r="BT91" s="22"/>
      <c r="BU91" s="22"/>
      <c r="BV91" s="22"/>
      <c r="BW91" s="22"/>
      <c r="BX91" s="22"/>
      <c r="BY91" s="20" t="s">
        <v>228</v>
      </c>
      <c r="BZ91" s="49" t="s">
        <v>170</v>
      </c>
      <c r="CA91" s="49"/>
      <c r="CB91" s="49" t="s">
        <v>845</v>
      </c>
      <c r="CC91" s="49" t="s">
        <v>837</v>
      </c>
      <c r="CD91" s="22" t="s">
        <v>513</v>
      </c>
      <c r="CE91" s="22" t="s">
        <v>514</v>
      </c>
      <c r="CF91" s="22" t="s">
        <v>137</v>
      </c>
      <c r="CG91" s="2">
        <v>1272212</v>
      </c>
      <c r="CH91" s="2"/>
      <c r="CI91" s="2" t="s">
        <v>668</v>
      </c>
      <c r="CJ91" s="2" t="s">
        <v>204</v>
      </c>
      <c r="CK91" s="18" t="s">
        <v>196</v>
      </c>
      <c r="CL91" s="18" t="s">
        <v>834</v>
      </c>
      <c r="CM91" s="21" t="s">
        <v>833</v>
      </c>
    </row>
    <row r="92" spans="1:91" s="88" customFormat="1" ht="15" thickBot="1" x14ac:dyDescent="0.4">
      <c r="A92" s="124">
        <v>86</v>
      </c>
      <c r="B92" s="165">
        <v>10</v>
      </c>
      <c r="C92" s="164">
        <v>20260310</v>
      </c>
      <c r="D92" s="14">
        <v>20260331</v>
      </c>
      <c r="E92" s="14" t="s">
        <v>13</v>
      </c>
      <c r="F92" s="14">
        <v>148</v>
      </c>
      <c r="G92" s="14">
        <v>4800925</v>
      </c>
      <c r="H92" s="14" t="s">
        <v>15</v>
      </c>
      <c r="I92" s="18" t="s">
        <v>838</v>
      </c>
      <c r="J92" s="2">
        <v>29.3</v>
      </c>
      <c r="K92" s="2">
        <v>25.3</v>
      </c>
      <c r="L92" s="14">
        <v>44.488900000000001</v>
      </c>
      <c r="M92" s="14">
        <v>-63.447600000000001</v>
      </c>
      <c r="N92" s="100">
        <v>0.55277777777777781</v>
      </c>
      <c r="O92" s="18">
        <v>42.48</v>
      </c>
      <c r="P92" s="18">
        <v>-63.45</v>
      </c>
      <c r="Q92" s="18">
        <v>44.53</v>
      </c>
      <c r="R92" s="18">
        <v>-61.41</v>
      </c>
      <c r="S92" s="2" t="s">
        <v>442</v>
      </c>
      <c r="T92" s="2">
        <v>21</v>
      </c>
      <c r="U92" s="2">
        <v>599</v>
      </c>
      <c r="V92" s="2">
        <v>1049</v>
      </c>
      <c r="W92" s="2">
        <f t="shared" si="0"/>
        <v>2098</v>
      </c>
      <c r="X92" s="18" t="s">
        <v>36</v>
      </c>
      <c r="Y92" s="18">
        <v>1</v>
      </c>
      <c r="Z92" s="18"/>
      <c r="AA92" s="18" t="s">
        <v>182</v>
      </c>
      <c r="AB92" s="18"/>
      <c r="AC92" s="18"/>
      <c r="AD92" s="18" t="s">
        <v>776</v>
      </c>
      <c r="AE92" s="18"/>
      <c r="AF92" s="18"/>
      <c r="AG92" s="18"/>
      <c r="AH92" s="18"/>
      <c r="AI92" s="18"/>
      <c r="AJ92" s="2">
        <v>1</v>
      </c>
      <c r="AK92" s="2">
        <v>1</v>
      </c>
      <c r="AL92" s="2">
        <v>0.5</v>
      </c>
      <c r="AM92" s="2">
        <v>1024.9000000000001</v>
      </c>
      <c r="AN92" s="18">
        <v>20260219</v>
      </c>
      <c r="AO92" s="18">
        <v>2</v>
      </c>
      <c r="AP92" s="18" t="s">
        <v>839</v>
      </c>
      <c r="AQ92" s="18" t="s">
        <v>777</v>
      </c>
      <c r="AR92" s="14">
        <v>33</v>
      </c>
      <c r="AS92" s="20"/>
      <c r="AT92" s="22"/>
      <c r="AU92" s="22"/>
      <c r="AV92" s="20"/>
      <c r="AW92" s="20"/>
      <c r="AX92" s="22"/>
      <c r="AY92" s="22"/>
      <c r="AZ92" s="22"/>
      <c r="BA92" s="22"/>
      <c r="BB92" s="158" t="s">
        <v>79</v>
      </c>
      <c r="BC92" s="39">
        <v>45964</v>
      </c>
      <c r="BD92" s="22" t="s">
        <v>459</v>
      </c>
      <c r="BE92" s="22"/>
      <c r="BF92" s="22"/>
      <c r="BG92" s="22" t="s">
        <v>758</v>
      </c>
      <c r="BH92" s="22" t="s">
        <v>791</v>
      </c>
      <c r="BI92" s="22" t="s">
        <v>418</v>
      </c>
      <c r="BJ92" s="22" t="s">
        <v>299</v>
      </c>
      <c r="BK92" s="22" t="s">
        <v>790</v>
      </c>
      <c r="BL92" s="22" t="s">
        <v>791</v>
      </c>
      <c r="BM92" s="22"/>
      <c r="BN92" s="22"/>
      <c r="BO92" s="22"/>
      <c r="BP92" s="22"/>
      <c r="BQ92" s="22"/>
      <c r="BR92" s="22"/>
      <c r="BS92" s="22"/>
      <c r="BT92" s="22"/>
      <c r="BU92" s="22"/>
      <c r="BV92" s="22"/>
      <c r="BW92" s="22"/>
      <c r="BX92" s="22"/>
      <c r="BY92" s="20" t="s">
        <v>228</v>
      </c>
      <c r="BZ92" s="49" t="s">
        <v>829</v>
      </c>
      <c r="CA92" s="49" t="s">
        <v>858</v>
      </c>
      <c r="CB92" s="49" t="s">
        <v>845</v>
      </c>
      <c r="CC92" s="49" t="s">
        <v>836</v>
      </c>
      <c r="CD92" s="22" t="s">
        <v>98</v>
      </c>
      <c r="CE92" s="22" t="s">
        <v>747</v>
      </c>
      <c r="CF92" s="22" t="s">
        <v>137</v>
      </c>
      <c r="CG92" s="22" t="s">
        <v>700</v>
      </c>
      <c r="CH92" s="2"/>
      <c r="CI92" s="2" t="s">
        <v>668</v>
      </c>
      <c r="CJ92" s="2" t="s">
        <v>204</v>
      </c>
      <c r="CK92" s="18" t="s">
        <v>196</v>
      </c>
      <c r="CL92" s="18" t="s">
        <v>862</v>
      </c>
      <c r="CM92" s="21" t="s">
        <v>861</v>
      </c>
    </row>
    <row r="93" spans="1:91" s="48" customFormat="1" x14ac:dyDescent="0.35">
      <c r="A93" s="136">
        <v>87</v>
      </c>
      <c r="B93" s="136">
        <v>1</v>
      </c>
      <c r="C93" s="35">
        <v>20260331</v>
      </c>
      <c r="D93" s="35">
        <v>20260423</v>
      </c>
      <c r="E93" s="35" t="s">
        <v>53</v>
      </c>
      <c r="F93" s="35">
        <v>102</v>
      </c>
      <c r="G93" s="35">
        <v>4800937</v>
      </c>
      <c r="H93" s="35" t="s">
        <v>15</v>
      </c>
      <c r="I93" s="37" t="s">
        <v>860</v>
      </c>
      <c r="J93" s="3">
        <v>29.1</v>
      </c>
      <c r="K93" s="3">
        <v>25.2</v>
      </c>
      <c r="L93" s="35">
        <v>44.516300000000001</v>
      </c>
      <c r="M93" s="35">
        <v>-63.411999999999999</v>
      </c>
      <c r="N93" s="137">
        <v>0.57986111111111116</v>
      </c>
      <c r="O93" s="37">
        <v>42.48</v>
      </c>
      <c r="P93" s="37">
        <v>-63.42</v>
      </c>
      <c r="Q93" s="37">
        <v>44.53</v>
      </c>
      <c r="R93" s="37">
        <v>-61.42</v>
      </c>
      <c r="S93" s="3" t="s">
        <v>442</v>
      </c>
      <c r="T93" s="3">
        <v>23</v>
      </c>
      <c r="U93" s="3">
        <v>623</v>
      </c>
      <c r="V93" s="3">
        <v>1053</v>
      </c>
      <c r="W93" s="3">
        <f t="shared" si="0"/>
        <v>2106</v>
      </c>
      <c r="X93" s="37" t="s">
        <v>36</v>
      </c>
      <c r="Y93" s="37">
        <v>1</v>
      </c>
      <c r="Z93" s="37"/>
      <c r="AA93" s="37" t="s">
        <v>182</v>
      </c>
      <c r="AB93" s="37"/>
      <c r="AC93" s="37"/>
      <c r="AD93" s="37" t="s">
        <v>776</v>
      </c>
      <c r="AE93" s="37"/>
      <c r="AF93" s="37"/>
      <c r="AG93" s="37"/>
      <c r="AH93" s="37"/>
      <c r="AI93" s="37"/>
      <c r="AJ93" s="3">
        <v>0</v>
      </c>
      <c r="AK93" s="3">
        <v>0</v>
      </c>
      <c r="AL93" s="3">
        <v>0</v>
      </c>
      <c r="AM93" s="3">
        <v>1024.9000000000001</v>
      </c>
      <c r="AN93" s="37">
        <v>20260317</v>
      </c>
      <c r="AO93" s="37">
        <v>1</v>
      </c>
      <c r="AP93" s="37" t="s">
        <v>750</v>
      </c>
      <c r="AQ93" s="37" t="s">
        <v>782</v>
      </c>
      <c r="AR93" s="35">
        <v>32</v>
      </c>
      <c r="AS93" s="34"/>
      <c r="AT93" s="38"/>
      <c r="AU93" s="38"/>
      <c r="AV93" s="34"/>
      <c r="AW93" s="34"/>
      <c r="AX93" s="38"/>
      <c r="AY93" s="38"/>
      <c r="AZ93" s="38"/>
      <c r="BA93" s="38"/>
      <c r="BB93" s="41" t="s">
        <v>86</v>
      </c>
      <c r="BC93" s="39">
        <v>45629</v>
      </c>
      <c r="BD93" s="38" t="s">
        <v>459</v>
      </c>
      <c r="BE93" s="38"/>
      <c r="BF93" s="38"/>
      <c r="BG93" s="38" t="s">
        <v>757</v>
      </c>
      <c r="BH93" s="38" t="s">
        <v>799</v>
      </c>
      <c r="BI93" s="38" t="s">
        <v>418</v>
      </c>
      <c r="BJ93" s="38" t="s">
        <v>299</v>
      </c>
      <c r="BK93" s="38" t="s">
        <v>789</v>
      </c>
      <c r="BL93" s="38" t="s">
        <v>791</v>
      </c>
      <c r="BM93" s="38"/>
      <c r="BN93" s="38"/>
      <c r="BO93" s="38"/>
      <c r="BP93" s="38"/>
      <c r="BQ93" s="38"/>
      <c r="BR93" s="38"/>
      <c r="BS93" s="38"/>
      <c r="BT93" s="38"/>
      <c r="BU93" s="38"/>
      <c r="BV93" s="38"/>
      <c r="BW93" s="38"/>
      <c r="BX93" s="38"/>
      <c r="BY93" s="34" t="s">
        <v>228</v>
      </c>
      <c r="BZ93" s="96" t="s">
        <v>170</v>
      </c>
      <c r="CA93" s="96"/>
      <c r="CB93" s="96" t="s">
        <v>845</v>
      </c>
      <c r="CC93" s="96" t="s">
        <v>837</v>
      </c>
      <c r="CD93" s="38" t="s">
        <v>245</v>
      </c>
      <c r="CE93" s="167" t="s">
        <v>746</v>
      </c>
      <c r="CF93" s="38" t="s">
        <v>136</v>
      </c>
      <c r="CG93" s="3">
        <v>1272212</v>
      </c>
      <c r="CH93" s="3"/>
      <c r="CI93" s="3" t="s">
        <v>668</v>
      </c>
      <c r="CJ93" s="3" t="s">
        <v>204</v>
      </c>
      <c r="CK93" s="37" t="s">
        <v>897</v>
      </c>
      <c r="CL93" s="37"/>
      <c r="CM93" s="43"/>
    </row>
    <row r="94" spans="1:91" s="48" customFormat="1" x14ac:dyDescent="0.35">
      <c r="A94" s="136">
        <v>88</v>
      </c>
      <c r="B94" s="136">
        <v>2</v>
      </c>
      <c r="C94" s="35">
        <v>20260423</v>
      </c>
      <c r="D94" s="35">
        <v>20260508</v>
      </c>
      <c r="E94" s="35" t="s">
        <v>35</v>
      </c>
      <c r="F94" s="35">
        <v>94</v>
      </c>
      <c r="G94" s="35">
        <v>4800994</v>
      </c>
      <c r="H94" s="35" t="s">
        <v>887</v>
      </c>
      <c r="I94" s="37" t="s">
        <v>900</v>
      </c>
      <c r="J94" s="3">
        <v>29.2</v>
      </c>
      <c r="K94" s="3">
        <v>27</v>
      </c>
      <c r="L94" s="35">
        <v>44.531700000000001</v>
      </c>
      <c r="M94" s="35">
        <v>-63.394500000000001</v>
      </c>
      <c r="N94" s="137">
        <v>0.60138888888888886</v>
      </c>
      <c r="O94" s="37">
        <v>43.54</v>
      </c>
      <c r="P94" s="37">
        <v>-63.41</v>
      </c>
      <c r="Q94" s="37">
        <v>44.54</v>
      </c>
      <c r="R94" s="37">
        <v>-62.5</v>
      </c>
      <c r="S94" s="3" t="s">
        <v>902</v>
      </c>
      <c r="T94" s="3">
        <v>15</v>
      </c>
      <c r="U94" s="3">
        <v>397</v>
      </c>
      <c r="V94" s="3">
        <v>770</v>
      </c>
      <c r="W94" s="3">
        <f t="shared" si="0"/>
        <v>1540</v>
      </c>
      <c r="X94" s="37" t="s">
        <v>36</v>
      </c>
      <c r="Y94" s="37">
        <v>1</v>
      </c>
      <c r="Z94" s="37"/>
      <c r="AA94" s="37" t="s">
        <v>182</v>
      </c>
      <c r="AB94" s="37"/>
      <c r="AC94" s="37"/>
      <c r="AD94" s="37" t="s">
        <v>776</v>
      </c>
      <c r="AE94" s="37"/>
      <c r="AF94" s="37"/>
      <c r="AG94" s="37"/>
      <c r="AH94" s="37"/>
      <c r="AI94" s="37"/>
      <c r="AJ94" s="3">
        <v>0</v>
      </c>
      <c r="AK94" s="3">
        <v>0</v>
      </c>
      <c r="AL94" s="3">
        <v>0</v>
      </c>
      <c r="AM94" s="3">
        <v>1024.7</v>
      </c>
      <c r="AN94" s="37">
        <v>20260414</v>
      </c>
      <c r="AO94" s="37">
        <v>1</v>
      </c>
      <c r="AP94" s="37" t="s">
        <v>839</v>
      </c>
      <c r="AQ94" s="37" t="s">
        <v>782</v>
      </c>
      <c r="AR94" s="35">
        <v>42</v>
      </c>
      <c r="AS94" s="34"/>
      <c r="AT94" s="38"/>
      <c r="AU94" s="38"/>
      <c r="AV94" s="34"/>
      <c r="AW94" s="34"/>
      <c r="AX94" s="38"/>
      <c r="AY94" s="38"/>
      <c r="AZ94" s="38"/>
      <c r="BA94" s="38"/>
      <c r="BB94" s="34" t="s">
        <v>888</v>
      </c>
      <c r="BC94" s="39">
        <v>42691</v>
      </c>
      <c r="BD94" s="38" t="s">
        <v>459</v>
      </c>
      <c r="BE94" s="38"/>
      <c r="BF94" s="38"/>
      <c r="BG94" s="38" t="s">
        <v>760</v>
      </c>
      <c r="BH94" s="38" t="s">
        <v>772</v>
      </c>
      <c r="BI94" s="38" t="s">
        <v>418</v>
      </c>
      <c r="BJ94" s="38" t="s">
        <v>299</v>
      </c>
      <c r="BK94" s="38" t="s">
        <v>769</v>
      </c>
      <c r="BL94" s="38" t="s">
        <v>802</v>
      </c>
      <c r="BM94" s="38"/>
      <c r="BN94" s="38"/>
      <c r="BO94" s="38"/>
      <c r="BP94" s="38"/>
      <c r="BQ94" s="38"/>
      <c r="BR94" s="38"/>
      <c r="BS94" s="38"/>
      <c r="BT94" s="38"/>
      <c r="BU94" s="38"/>
      <c r="BV94" s="38"/>
      <c r="BW94" s="38"/>
      <c r="BX94" s="38"/>
      <c r="BY94" s="34" t="s">
        <v>228</v>
      </c>
      <c r="BZ94" s="96" t="s">
        <v>829</v>
      </c>
      <c r="CA94" s="96" t="s">
        <v>889</v>
      </c>
      <c r="CB94" s="96" t="s">
        <v>845</v>
      </c>
      <c r="CC94" s="96" t="s">
        <v>836</v>
      </c>
      <c r="CD94" s="38" t="s">
        <v>117</v>
      </c>
      <c r="CE94" s="38" t="s">
        <v>800</v>
      </c>
      <c r="CF94" s="38" t="s">
        <v>885</v>
      </c>
      <c r="CG94" s="40" t="s">
        <v>700</v>
      </c>
      <c r="CH94" s="3" t="s">
        <v>899</v>
      </c>
      <c r="CI94" s="3" t="s">
        <v>668</v>
      </c>
      <c r="CJ94" s="3" t="s">
        <v>204</v>
      </c>
      <c r="CK94" s="37" t="s">
        <v>903</v>
      </c>
      <c r="CL94" s="37" t="s">
        <v>727</v>
      </c>
      <c r="CM94" s="43" t="s">
        <v>905</v>
      </c>
    </row>
    <row r="95" spans="1:91" s="48" customFormat="1" x14ac:dyDescent="0.35">
      <c r="A95" s="136">
        <v>89</v>
      </c>
      <c r="B95" s="136">
        <v>3</v>
      </c>
      <c r="C95" s="35">
        <v>20260423</v>
      </c>
      <c r="D95" s="35">
        <v>20260508</v>
      </c>
      <c r="E95" s="35" t="s">
        <v>24</v>
      </c>
      <c r="F95" s="35">
        <v>89</v>
      </c>
      <c r="G95" s="35">
        <v>4800926</v>
      </c>
      <c r="H95" s="35" t="s">
        <v>887</v>
      </c>
      <c r="I95" s="37" t="s">
        <v>901</v>
      </c>
      <c r="J95" s="3">
        <v>29.1</v>
      </c>
      <c r="K95" s="3">
        <v>26.4</v>
      </c>
      <c r="L95" s="35">
        <v>44.529400000000003</v>
      </c>
      <c r="M95" s="35">
        <v>-63.398699999999998</v>
      </c>
      <c r="N95" s="137">
        <v>0.57708333333333328</v>
      </c>
      <c r="O95" s="37">
        <v>43.53</v>
      </c>
      <c r="P95" s="37">
        <v>-63.41</v>
      </c>
      <c r="Q95" s="37">
        <v>44.53</v>
      </c>
      <c r="R95" s="37">
        <v>-62.48</v>
      </c>
      <c r="S95" s="3" t="s">
        <v>902</v>
      </c>
      <c r="T95" s="3">
        <v>15</v>
      </c>
      <c r="U95" s="3">
        <v>383</v>
      </c>
      <c r="V95" s="3">
        <v>708</v>
      </c>
      <c r="W95" s="3">
        <f>V95*2</f>
        <v>1416</v>
      </c>
      <c r="X95" s="37" t="s">
        <v>36</v>
      </c>
      <c r="Y95" s="37">
        <v>1</v>
      </c>
      <c r="Z95" s="37"/>
      <c r="AA95" s="37" t="s">
        <v>182</v>
      </c>
      <c r="AB95" s="37"/>
      <c r="AC95" s="37"/>
      <c r="AD95" s="37" t="s">
        <v>776</v>
      </c>
      <c r="AE95" s="37"/>
      <c r="AF95" s="37"/>
      <c r="AG95" s="37"/>
      <c r="AH95" s="37"/>
      <c r="AI95" s="37"/>
      <c r="AJ95" s="3">
        <v>0</v>
      </c>
      <c r="AK95" s="3">
        <v>0</v>
      </c>
      <c r="AL95" s="3">
        <v>0</v>
      </c>
      <c r="AM95" s="3">
        <v>1024.7</v>
      </c>
      <c r="AN95" s="37">
        <v>20260414</v>
      </c>
      <c r="AO95" s="37">
        <v>1</v>
      </c>
      <c r="AP95" s="37" t="s">
        <v>839</v>
      </c>
      <c r="AQ95" s="37" t="s">
        <v>782</v>
      </c>
      <c r="AR95" s="35">
        <v>29</v>
      </c>
      <c r="AS95" s="34"/>
      <c r="AT95" s="38"/>
      <c r="AU95" s="38"/>
      <c r="AV95" s="34"/>
      <c r="AW95" s="34"/>
      <c r="AX95" s="38"/>
      <c r="AY95" s="38"/>
      <c r="AZ95" s="38"/>
      <c r="BA95" s="38"/>
      <c r="BB95" s="34" t="s">
        <v>74</v>
      </c>
      <c r="BC95" s="39">
        <v>45631</v>
      </c>
      <c r="BD95" s="38" t="s">
        <v>459</v>
      </c>
      <c r="BE95" s="38"/>
      <c r="BF95" s="38"/>
      <c r="BG95" s="38" t="s">
        <v>759</v>
      </c>
      <c r="BH95" s="38" t="s">
        <v>780</v>
      </c>
      <c r="BI95" s="38" t="s">
        <v>418</v>
      </c>
      <c r="BJ95" s="38" t="s">
        <v>299</v>
      </c>
      <c r="BK95" s="38" t="s">
        <v>768</v>
      </c>
      <c r="BL95" s="38" t="s">
        <v>815</v>
      </c>
      <c r="BM95" s="38"/>
      <c r="BN95" s="38"/>
      <c r="BO95" s="38"/>
      <c r="BP95" s="38"/>
      <c r="BQ95" s="38"/>
      <c r="BR95" s="38"/>
      <c r="BS95" s="38"/>
      <c r="BT95" s="38"/>
      <c r="BU95" s="38"/>
      <c r="BV95" s="38"/>
      <c r="BW95" s="38"/>
      <c r="BX95" s="38"/>
      <c r="BY95" s="34" t="s">
        <v>228</v>
      </c>
      <c r="BZ95" s="96" t="s">
        <v>829</v>
      </c>
      <c r="CA95" s="96" t="s">
        <v>889</v>
      </c>
      <c r="CB95" s="96" t="s">
        <v>165</v>
      </c>
      <c r="CC95" s="96" t="s">
        <v>836</v>
      </c>
      <c r="CD95" s="40" t="s">
        <v>98</v>
      </c>
      <c r="CE95" s="40" t="s">
        <v>747</v>
      </c>
      <c r="CF95" s="38" t="s">
        <v>137</v>
      </c>
      <c r="CG95" s="38" t="s">
        <v>803</v>
      </c>
      <c r="CH95" s="3" t="s">
        <v>899</v>
      </c>
      <c r="CI95" s="3" t="s">
        <v>668</v>
      </c>
      <c r="CJ95" s="3" t="s">
        <v>204</v>
      </c>
      <c r="CK95" s="37" t="s">
        <v>903</v>
      </c>
      <c r="CL95" s="37"/>
      <c r="CM95" s="43" t="s">
        <v>890</v>
      </c>
    </row>
    <row r="96" spans="1:91" s="48" customFormat="1" x14ac:dyDescent="0.35">
      <c r="A96" s="136">
        <v>90</v>
      </c>
      <c r="B96" s="136">
        <v>4</v>
      </c>
      <c r="C96" s="35">
        <v>20260508</v>
      </c>
      <c r="D96" s="35"/>
      <c r="E96" s="35" t="s">
        <v>13</v>
      </c>
      <c r="F96" s="35">
        <v>151</v>
      </c>
      <c r="G96" s="35">
        <v>4800925</v>
      </c>
      <c r="H96" s="35" t="s">
        <v>887</v>
      </c>
      <c r="I96" s="37" t="s">
        <v>907</v>
      </c>
      <c r="J96" s="3"/>
      <c r="K96" s="3"/>
      <c r="L96" s="35"/>
      <c r="M96" s="35"/>
      <c r="N96" s="3"/>
      <c r="O96" s="37"/>
      <c r="P96" s="37"/>
      <c r="Q96" s="37"/>
      <c r="R96" s="37"/>
      <c r="S96" s="3" t="s">
        <v>908</v>
      </c>
      <c r="T96" s="3"/>
      <c r="U96" s="3"/>
      <c r="V96" s="3"/>
      <c r="W96" s="3"/>
      <c r="X96" s="37" t="s">
        <v>36</v>
      </c>
      <c r="Y96" s="37" t="s">
        <v>227</v>
      </c>
      <c r="Z96" s="37"/>
      <c r="AA96" s="37"/>
      <c r="AB96" s="37"/>
      <c r="AC96" s="37"/>
      <c r="AD96" s="37" t="s">
        <v>776</v>
      </c>
      <c r="AE96" s="37" t="s">
        <v>182</v>
      </c>
      <c r="AF96" s="37"/>
      <c r="AG96" s="37"/>
      <c r="AH96" s="37" t="s">
        <v>299</v>
      </c>
      <c r="AI96" s="37" t="s">
        <v>299</v>
      </c>
      <c r="AJ96" s="3">
        <v>1</v>
      </c>
      <c r="AK96" s="3">
        <v>1</v>
      </c>
      <c r="AL96" s="3">
        <v>1</v>
      </c>
      <c r="AM96" s="3">
        <v>1024.4000000000001</v>
      </c>
      <c r="AN96" s="37">
        <v>20260421</v>
      </c>
      <c r="AO96" s="37">
        <v>2</v>
      </c>
      <c r="AP96" s="37" t="s">
        <v>839</v>
      </c>
      <c r="AQ96" s="37" t="s">
        <v>782</v>
      </c>
      <c r="AR96" s="35">
        <v>163</v>
      </c>
      <c r="AS96" s="34"/>
      <c r="AT96" s="38"/>
      <c r="AU96" s="38"/>
      <c r="AV96" s="34"/>
      <c r="AW96" s="34"/>
      <c r="AX96" s="38"/>
      <c r="AY96" s="38"/>
      <c r="AZ96" s="38"/>
      <c r="BA96" s="38"/>
      <c r="BB96" s="34"/>
      <c r="BC96" s="38"/>
      <c r="BD96" s="38"/>
      <c r="BE96" s="38"/>
      <c r="BF96" s="38"/>
      <c r="BG96" s="38" t="s">
        <v>869</v>
      </c>
      <c r="BH96" s="38" t="s">
        <v>891</v>
      </c>
      <c r="BI96" s="38" t="s">
        <v>418</v>
      </c>
      <c r="BJ96" s="38" t="s">
        <v>299</v>
      </c>
      <c r="BK96" s="46" t="s">
        <v>870</v>
      </c>
      <c r="BL96" s="38" t="s">
        <v>892</v>
      </c>
      <c r="BM96" s="38"/>
      <c r="BN96" s="38" t="s">
        <v>893</v>
      </c>
      <c r="BO96" s="38" t="s">
        <v>894</v>
      </c>
      <c r="BP96" s="38"/>
      <c r="BQ96" s="38"/>
      <c r="BR96" s="38"/>
      <c r="BS96" s="38"/>
      <c r="BT96" s="38"/>
      <c r="BU96" s="38" t="s">
        <v>871</v>
      </c>
      <c r="BV96" s="38" t="s">
        <v>886</v>
      </c>
      <c r="BW96" s="38" t="s">
        <v>873</v>
      </c>
      <c r="BX96" s="38" t="s">
        <v>895</v>
      </c>
      <c r="BY96" s="34" t="s">
        <v>228</v>
      </c>
      <c r="BZ96" s="96" t="s">
        <v>829</v>
      </c>
      <c r="CA96" s="96" t="s">
        <v>858</v>
      </c>
      <c r="CB96" s="96" t="s">
        <v>845</v>
      </c>
      <c r="CC96" s="96" t="s">
        <v>836</v>
      </c>
      <c r="CD96" s="38" t="s">
        <v>245</v>
      </c>
      <c r="CE96" s="167" t="s">
        <v>746</v>
      </c>
      <c r="CF96" s="38" t="s">
        <v>188</v>
      </c>
      <c r="CG96" s="38" t="s">
        <v>188</v>
      </c>
      <c r="CH96" s="3"/>
      <c r="CI96" s="3" t="s">
        <v>668</v>
      </c>
      <c r="CJ96" s="3" t="s">
        <v>204</v>
      </c>
      <c r="CK96" s="37" t="s">
        <v>904</v>
      </c>
      <c r="CL96" s="37"/>
      <c r="CM96" s="43" t="s">
        <v>910</v>
      </c>
    </row>
    <row r="97" spans="1:91" s="48" customFormat="1" x14ac:dyDescent="0.35">
      <c r="A97" s="136"/>
      <c r="B97" s="136"/>
      <c r="C97" s="35"/>
      <c r="D97" s="35"/>
      <c r="E97" s="35" t="s">
        <v>24</v>
      </c>
      <c r="F97" s="35">
        <v>92</v>
      </c>
      <c r="G97" s="35">
        <v>4800926</v>
      </c>
      <c r="H97" s="35" t="s">
        <v>15</v>
      </c>
      <c r="I97" s="37" t="s">
        <v>906</v>
      </c>
      <c r="J97" s="3"/>
      <c r="K97" s="3"/>
      <c r="L97" s="35"/>
      <c r="M97" s="35"/>
      <c r="N97" s="3"/>
      <c r="O97" s="37"/>
      <c r="P97" s="37"/>
      <c r="Q97" s="37"/>
      <c r="R97" s="37"/>
      <c r="S97" s="3"/>
      <c r="T97" s="3"/>
      <c r="U97" s="3"/>
      <c r="V97" s="3"/>
      <c r="W97" s="3"/>
      <c r="X97" s="37" t="s">
        <v>36</v>
      </c>
      <c r="Y97" s="37">
        <v>1</v>
      </c>
      <c r="Z97" s="37"/>
      <c r="AA97" s="37" t="s">
        <v>182</v>
      </c>
      <c r="AB97" s="37"/>
      <c r="AC97" s="37"/>
      <c r="AD97" s="37" t="s">
        <v>776</v>
      </c>
      <c r="AE97" s="37"/>
      <c r="AF97" s="37"/>
      <c r="AG97" s="37"/>
      <c r="AH97" s="37"/>
      <c r="AI97" s="37"/>
      <c r="AJ97" s="3"/>
      <c r="AK97" s="3"/>
      <c r="AL97" s="3"/>
      <c r="AM97" s="3">
        <v>1024.2</v>
      </c>
      <c r="AN97" s="37">
        <v>20260512</v>
      </c>
      <c r="AO97" s="37">
        <v>1</v>
      </c>
      <c r="AP97" s="37" t="s">
        <v>839</v>
      </c>
      <c r="AQ97" s="37" t="s">
        <v>782</v>
      </c>
      <c r="AR97" s="35">
        <v>29</v>
      </c>
      <c r="AS97" s="34"/>
      <c r="AT97" s="38"/>
      <c r="AU97" s="38"/>
      <c r="AV97" s="34"/>
      <c r="AW97" s="34"/>
      <c r="AX97" s="38"/>
      <c r="AY97" s="38"/>
      <c r="AZ97" s="38"/>
      <c r="BA97" s="38"/>
      <c r="BB97" s="34" t="s">
        <v>74</v>
      </c>
      <c r="BC97" s="39">
        <v>45631</v>
      </c>
      <c r="BD97" s="38" t="s">
        <v>459</v>
      </c>
      <c r="BE97" s="38"/>
      <c r="BF97" s="38"/>
      <c r="BG97" s="38" t="s">
        <v>759</v>
      </c>
      <c r="BH97" s="38" t="s">
        <v>780</v>
      </c>
      <c r="BI97" s="38" t="s">
        <v>418</v>
      </c>
      <c r="BJ97" s="38" t="s">
        <v>299</v>
      </c>
      <c r="BK97" s="38" t="s">
        <v>768</v>
      </c>
      <c r="BL97" s="38" t="s">
        <v>815</v>
      </c>
      <c r="BM97" s="38"/>
      <c r="BN97" s="38"/>
      <c r="BO97" s="38"/>
      <c r="BP97" s="38"/>
      <c r="BQ97" s="38"/>
      <c r="BR97" s="38"/>
      <c r="BS97" s="38"/>
      <c r="BT97" s="38"/>
      <c r="BU97" s="38"/>
      <c r="BV97" s="38"/>
      <c r="BW97" s="38"/>
      <c r="BX97" s="38"/>
      <c r="BY97" s="34" t="s">
        <v>228</v>
      </c>
      <c r="BZ97" s="96" t="s">
        <v>829</v>
      </c>
      <c r="CA97" s="96" t="s">
        <v>889</v>
      </c>
      <c r="CB97" s="96" t="s">
        <v>165</v>
      </c>
      <c r="CC97" s="96" t="s">
        <v>836</v>
      </c>
      <c r="CD97" s="40" t="s">
        <v>98</v>
      </c>
      <c r="CE97" s="40" t="s">
        <v>747</v>
      </c>
      <c r="CF97" s="38" t="s">
        <v>136</v>
      </c>
      <c r="CG97" s="38" t="s">
        <v>803</v>
      </c>
      <c r="CH97" s="3"/>
      <c r="CI97" s="3" t="s">
        <v>668</v>
      </c>
      <c r="CJ97" s="3" t="s">
        <v>204</v>
      </c>
      <c r="CK97" s="37"/>
      <c r="CL97" s="37"/>
      <c r="CM97" s="43" t="s">
        <v>909</v>
      </c>
    </row>
    <row r="98" spans="1:91" s="48" customFormat="1" x14ac:dyDescent="0.35">
      <c r="A98" s="136"/>
      <c r="B98" s="136"/>
      <c r="C98" s="35"/>
      <c r="D98" s="35"/>
      <c r="E98" s="35"/>
      <c r="F98" s="35"/>
      <c r="G98" s="35"/>
      <c r="H98" s="35"/>
      <c r="I98" s="37"/>
      <c r="J98" s="3"/>
      <c r="K98" s="3"/>
      <c r="L98" s="35"/>
      <c r="M98" s="35"/>
      <c r="N98" s="3"/>
      <c r="O98" s="37"/>
      <c r="P98" s="37"/>
      <c r="Q98" s="37"/>
      <c r="R98" s="37"/>
      <c r="S98" s="3"/>
      <c r="T98" s="3"/>
      <c r="U98" s="3"/>
      <c r="V98" s="3"/>
      <c r="W98" s="3"/>
      <c r="X98" s="37"/>
      <c r="Y98" s="37"/>
      <c r="Z98" s="37"/>
      <c r="AA98" s="37"/>
      <c r="AB98" s="37"/>
      <c r="AC98" s="37"/>
      <c r="AD98" s="37"/>
      <c r="AE98" s="37"/>
      <c r="AF98" s="37"/>
      <c r="AG98" s="37"/>
      <c r="AH98" s="37"/>
      <c r="AI98" s="37"/>
      <c r="AJ98" s="3"/>
      <c r="AK98" s="3"/>
      <c r="AL98" s="3"/>
      <c r="AM98" s="3"/>
      <c r="AN98" s="37"/>
      <c r="AO98" s="37"/>
      <c r="AP98" s="37"/>
      <c r="AQ98" s="37"/>
      <c r="AR98" s="35"/>
      <c r="AS98" s="34"/>
      <c r="AT98" s="38"/>
      <c r="AU98" s="38"/>
      <c r="AV98" s="34"/>
      <c r="AW98" s="34"/>
      <c r="AX98" s="38"/>
      <c r="AY98" s="38"/>
      <c r="AZ98" s="38"/>
      <c r="BA98" s="38"/>
      <c r="BB98" s="34"/>
      <c r="BC98" s="38"/>
      <c r="BD98" s="38"/>
      <c r="BE98" s="38"/>
      <c r="BF98" s="38"/>
      <c r="BG98" s="38"/>
      <c r="BH98" s="38"/>
      <c r="BI98" s="38"/>
      <c r="BJ98" s="38"/>
      <c r="BK98" s="38"/>
      <c r="BL98" s="38"/>
      <c r="BM98" s="38"/>
      <c r="BN98" s="38"/>
      <c r="BO98" s="38"/>
      <c r="BP98" s="38"/>
      <c r="BQ98" s="38"/>
      <c r="BR98" s="38"/>
      <c r="BS98" s="38"/>
      <c r="BT98" s="38"/>
      <c r="BU98" s="38"/>
      <c r="BV98" s="38"/>
      <c r="BW98" s="38"/>
      <c r="BX98" s="38"/>
      <c r="BY98" s="34"/>
      <c r="BZ98" s="96"/>
      <c r="CA98" s="96"/>
      <c r="CB98" s="96"/>
      <c r="CC98" s="96"/>
      <c r="CD98" s="38"/>
      <c r="CE98" s="144"/>
      <c r="CF98" s="38"/>
      <c r="CG98" s="38"/>
      <c r="CH98" s="3"/>
      <c r="CI98" s="35"/>
      <c r="CJ98" s="35"/>
      <c r="CK98" s="37"/>
      <c r="CL98" s="37"/>
      <c r="CM98" s="43"/>
    </row>
    <row r="99" spans="1:91"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F99" s="77"/>
      <c r="AG99" s="77"/>
      <c r="AH99" s="77"/>
      <c r="AI99" s="77"/>
      <c r="AN99" s="77"/>
      <c r="AO99" s="25" t="s">
        <v>859</v>
      </c>
      <c r="AP99" s="77"/>
      <c r="AQ99" s="77"/>
      <c r="AR99" s="116"/>
      <c r="AS99" s="27"/>
      <c r="AT99" s="26"/>
      <c r="AU99" s="78"/>
      <c r="AV99" s="117"/>
      <c r="AW99" s="27"/>
      <c r="AX99" s="26"/>
      <c r="AY99" s="78"/>
      <c r="AZ99" s="78"/>
      <c r="BA99" s="78"/>
      <c r="BB99" s="117"/>
      <c r="BC99" s="78"/>
      <c r="BD99" s="78"/>
      <c r="BE99" s="78"/>
      <c r="BF99" s="145" t="s">
        <v>762</v>
      </c>
      <c r="BG99" s="6" t="s">
        <v>757</v>
      </c>
      <c r="BH99" s="78" t="s">
        <v>773</v>
      </c>
      <c r="BI99" s="78"/>
      <c r="BJ99" s="78"/>
      <c r="BK99" s="168" t="s">
        <v>789</v>
      </c>
      <c r="BL99" s="78"/>
      <c r="BM99" s="78"/>
      <c r="BN99" s="78"/>
      <c r="BO99" s="78"/>
      <c r="BP99" s="78"/>
      <c r="BQ99" s="78"/>
      <c r="BR99" s="78"/>
      <c r="BS99" s="78"/>
      <c r="BT99" s="78"/>
      <c r="BU99" s="78"/>
      <c r="BV99" s="78"/>
      <c r="BW99" s="78"/>
      <c r="BX99" s="78"/>
      <c r="BY99" s="117"/>
      <c r="BZ99" s="118" t="s">
        <v>831</v>
      </c>
      <c r="CA99" s="118"/>
      <c r="CB99" s="118"/>
      <c r="CC99" s="118"/>
      <c r="CD99" s="40" t="s">
        <v>98</v>
      </c>
      <c r="CE99" s="160" t="s">
        <v>747</v>
      </c>
      <c r="CF99" s="40" t="s">
        <v>885</v>
      </c>
      <c r="CG99" s="40"/>
      <c r="CH99" s="44"/>
      <c r="CI99" s="121"/>
      <c r="CJ99" s="45"/>
      <c r="CK99" s="77"/>
      <c r="CL99" s="77" t="s">
        <v>820</v>
      </c>
      <c r="CM99" s="119"/>
    </row>
    <row r="100" spans="1:91"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F100" s="77"/>
      <c r="AG100" s="77"/>
      <c r="AH100" s="77"/>
      <c r="AI100" s="77"/>
      <c r="AN100" s="77"/>
      <c r="AO100" s="77"/>
      <c r="AP100" s="77"/>
      <c r="AQ100" s="77"/>
      <c r="AR100" s="116">
        <v>161</v>
      </c>
      <c r="AS100" s="27"/>
      <c r="AT100" s="26"/>
      <c r="AU100" s="78"/>
      <c r="AV100" s="117"/>
      <c r="AW100" s="27"/>
      <c r="AX100" s="26"/>
      <c r="AY100" s="78"/>
      <c r="AZ100" s="78"/>
      <c r="BA100" s="78"/>
      <c r="BB100" s="27" t="s">
        <v>74</v>
      </c>
      <c r="BC100" s="26" t="s">
        <v>751</v>
      </c>
      <c r="BD100" s="78" t="s">
        <v>825</v>
      </c>
      <c r="BE100" s="78"/>
      <c r="BF100" s="145"/>
      <c r="BG100" s="6" t="s">
        <v>758</v>
      </c>
      <c r="BH100" s="78" t="s">
        <v>774</v>
      </c>
      <c r="BI100" s="78"/>
      <c r="BJ100" s="78"/>
      <c r="BK100" s="168" t="s">
        <v>790</v>
      </c>
      <c r="BL100" s="78"/>
      <c r="BM100" s="78"/>
      <c r="BN100" s="78"/>
      <c r="BO100" s="78"/>
      <c r="BP100" s="78"/>
      <c r="BQ100" s="78"/>
      <c r="BR100" s="78"/>
      <c r="BS100" s="78"/>
      <c r="BT100" s="78"/>
      <c r="BU100" s="78"/>
      <c r="BV100" s="78"/>
      <c r="BW100" s="78"/>
      <c r="BX100" s="78"/>
      <c r="BY100" s="117"/>
      <c r="BZ100" s="118" t="s">
        <v>832</v>
      </c>
      <c r="CA100" s="118"/>
      <c r="CB100" s="118"/>
      <c r="CC100" s="118"/>
      <c r="CD100" s="38" t="s">
        <v>95</v>
      </c>
      <c r="CE100" s="143" t="s">
        <v>586</v>
      </c>
      <c r="CF100" s="38"/>
      <c r="CG100" s="38"/>
      <c r="CH100" s="3"/>
      <c r="CI100" s="120"/>
      <c r="CJ100" s="35"/>
      <c r="CK100" s="77"/>
      <c r="CL100" s="77"/>
      <c r="CM100" s="119"/>
    </row>
    <row r="101" spans="1:91"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F101" s="77"/>
      <c r="AG101" s="77"/>
      <c r="AH101" s="77"/>
      <c r="AI101" s="77"/>
      <c r="AN101" s="77"/>
      <c r="AO101" s="77"/>
      <c r="AP101" s="77"/>
      <c r="AQ101" s="77"/>
      <c r="AR101" s="116">
        <v>162</v>
      </c>
      <c r="AS101" s="117"/>
      <c r="AT101" s="78"/>
      <c r="AU101" s="78"/>
      <c r="AV101" s="117"/>
      <c r="AW101" s="117"/>
      <c r="AX101" s="78"/>
      <c r="AY101" s="78"/>
      <c r="AZ101" s="78"/>
      <c r="BA101" s="78"/>
      <c r="BB101" s="27"/>
      <c r="BC101" s="26"/>
      <c r="BD101" s="78"/>
      <c r="BE101" s="78"/>
      <c r="BF101" s="145" t="s">
        <v>761</v>
      </c>
      <c r="BG101" s="5" t="s">
        <v>759</v>
      </c>
      <c r="BH101" s="78" t="s">
        <v>773</v>
      </c>
      <c r="BI101" s="78"/>
      <c r="BJ101" s="78"/>
      <c r="BK101" s="168" t="s">
        <v>768</v>
      </c>
      <c r="BL101" s="78" t="s">
        <v>815</v>
      </c>
      <c r="BM101" s="78"/>
      <c r="BN101" s="78"/>
      <c r="BO101" s="78"/>
      <c r="BP101" s="78"/>
      <c r="BQ101" s="78"/>
      <c r="BR101" s="78"/>
      <c r="BS101" s="78"/>
      <c r="BT101" s="78"/>
      <c r="BU101" s="78"/>
      <c r="BV101" s="78"/>
      <c r="BW101" s="78"/>
      <c r="BX101" s="78"/>
      <c r="BY101" s="117"/>
      <c r="BZ101" s="118"/>
      <c r="CA101" s="118"/>
      <c r="CB101" s="118"/>
      <c r="CC101" s="118"/>
      <c r="CD101" s="38" t="s">
        <v>117</v>
      </c>
      <c r="CE101" s="144" t="s">
        <v>800</v>
      </c>
      <c r="CF101" s="133"/>
      <c r="CG101" s="133"/>
      <c r="CH101" s="134"/>
      <c r="CI101" s="135"/>
      <c r="CJ101" s="29"/>
      <c r="CK101" s="77"/>
      <c r="CL101" s="77"/>
      <c r="CM101" s="119"/>
    </row>
    <row r="102" spans="1:91" s="115" customFormat="1" x14ac:dyDescent="0.35">
      <c r="C102" s="116"/>
      <c r="D102" s="116"/>
      <c r="E102" s="116"/>
      <c r="F102" s="116"/>
      <c r="G102" s="116"/>
      <c r="H102" s="116"/>
      <c r="I102" s="77"/>
      <c r="L102" s="116"/>
      <c r="M102" s="116"/>
      <c r="O102" s="77"/>
      <c r="P102" s="77"/>
      <c r="Q102" s="77"/>
      <c r="R102" s="77"/>
      <c r="X102" s="77"/>
      <c r="Y102" s="77"/>
      <c r="Z102" s="77"/>
      <c r="AA102" s="77"/>
      <c r="AB102" s="77"/>
      <c r="AC102" s="77"/>
      <c r="AD102" s="77"/>
      <c r="AE102" s="77"/>
      <c r="AF102" s="77"/>
      <c r="AG102" s="77"/>
      <c r="AH102" s="77"/>
      <c r="AI102" s="77"/>
      <c r="AN102" s="77"/>
      <c r="AO102" s="77"/>
      <c r="AP102" s="77"/>
      <c r="AQ102" s="77"/>
      <c r="AR102" s="116" t="s">
        <v>874</v>
      </c>
      <c r="AS102" s="117"/>
      <c r="AT102" s="78"/>
      <c r="AU102" s="78"/>
      <c r="AV102" s="117"/>
      <c r="AW102" s="117"/>
      <c r="AX102" s="78"/>
      <c r="AY102" s="78"/>
      <c r="AZ102" s="78"/>
      <c r="BA102" s="78"/>
      <c r="BB102" s="117" t="s">
        <v>79</v>
      </c>
      <c r="BC102" s="26" t="s">
        <v>826</v>
      </c>
      <c r="BD102" s="78" t="s">
        <v>827</v>
      </c>
      <c r="BE102" s="78"/>
      <c r="BF102" s="78"/>
      <c r="BG102" s="5" t="s">
        <v>760</v>
      </c>
      <c r="BH102" s="78" t="s">
        <v>774</v>
      </c>
      <c r="BI102" s="78"/>
      <c r="BJ102" s="78"/>
      <c r="BK102" s="168" t="s">
        <v>769</v>
      </c>
      <c r="BL102" s="78" t="s">
        <v>802</v>
      </c>
      <c r="BM102" s="78"/>
      <c r="BN102" s="78"/>
      <c r="BO102" s="78"/>
      <c r="BP102" s="78"/>
      <c r="BQ102" s="78"/>
      <c r="BR102" s="78"/>
      <c r="BS102" s="78"/>
      <c r="BT102" s="78"/>
      <c r="BU102" s="78"/>
      <c r="BV102" s="78"/>
      <c r="BW102" s="78"/>
      <c r="BX102" s="78"/>
      <c r="BY102" s="117"/>
      <c r="BZ102" s="118"/>
      <c r="CA102" s="118"/>
      <c r="CB102" s="118"/>
      <c r="CC102" s="118"/>
      <c r="CD102" s="38" t="s">
        <v>245</v>
      </c>
      <c r="CE102" s="144" t="s">
        <v>746</v>
      </c>
      <c r="CF102" s="38"/>
      <c r="CG102" s="38"/>
      <c r="CH102" s="3"/>
      <c r="CI102" s="29"/>
      <c r="CJ102" s="93"/>
      <c r="CK102" s="77"/>
      <c r="CL102" s="77"/>
      <c r="CM102" s="119"/>
    </row>
    <row r="103" spans="1:91" s="115" customFormat="1" x14ac:dyDescent="0.35">
      <c r="C103" s="116"/>
      <c r="D103" s="116"/>
      <c r="E103" s="116"/>
      <c r="F103" s="116"/>
      <c r="G103" s="116"/>
      <c r="H103" s="116"/>
      <c r="I103" s="77"/>
      <c r="L103" s="116"/>
      <c r="M103" s="116"/>
      <c r="O103" s="77"/>
      <c r="P103" s="77"/>
      <c r="Q103" s="77"/>
      <c r="R103" s="77"/>
      <c r="X103" s="77"/>
      <c r="Y103" s="77"/>
      <c r="Z103" s="77"/>
      <c r="AA103" s="77"/>
      <c r="AB103" s="77"/>
      <c r="AC103" s="77"/>
      <c r="AD103" s="77"/>
      <c r="AE103" s="77"/>
      <c r="AF103" s="77"/>
      <c r="AG103" s="77"/>
      <c r="AH103" s="77"/>
      <c r="AI103" s="77"/>
      <c r="AN103" s="77"/>
      <c r="AO103" s="77"/>
      <c r="AP103" s="77"/>
      <c r="AQ103" s="77"/>
      <c r="AR103" s="116"/>
      <c r="AS103" s="117"/>
      <c r="AT103" s="78"/>
      <c r="AU103" s="78"/>
      <c r="AV103" s="117"/>
      <c r="AW103" s="117"/>
      <c r="AX103" s="78"/>
      <c r="AY103" s="78"/>
      <c r="AZ103" s="78"/>
      <c r="BA103" s="78"/>
      <c r="BB103" s="117"/>
      <c r="BC103" s="78"/>
      <c r="BD103" s="78"/>
      <c r="BE103" s="78"/>
      <c r="BF103" s="78" t="s">
        <v>868</v>
      </c>
      <c r="BG103" s="78" t="s">
        <v>869</v>
      </c>
      <c r="BH103" s="78"/>
      <c r="BI103" s="78"/>
      <c r="BJ103" s="78"/>
      <c r="BK103" s="168" t="s">
        <v>870</v>
      </c>
      <c r="BL103" s="78"/>
      <c r="BM103" s="78"/>
      <c r="BN103" s="78" t="s">
        <v>872</v>
      </c>
      <c r="BO103" s="78"/>
      <c r="BP103" s="78"/>
      <c r="BQ103" s="78"/>
      <c r="BR103" s="78"/>
      <c r="BS103" s="78"/>
      <c r="BT103" s="78"/>
      <c r="BU103" s="78" t="s">
        <v>871</v>
      </c>
      <c r="BV103" s="78" t="s">
        <v>886</v>
      </c>
      <c r="BW103" s="78" t="s">
        <v>873</v>
      </c>
      <c r="BX103" s="78"/>
      <c r="BY103" s="117"/>
      <c r="BZ103" s="118"/>
      <c r="CA103" s="118"/>
      <c r="CB103" s="118"/>
      <c r="CC103" s="118"/>
      <c r="CD103" s="38" t="s">
        <v>513</v>
      </c>
      <c r="CE103" s="143" t="s">
        <v>514</v>
      </c>
      <c r="CF103" s="38"/>
      <c r="CG103" s="38"/>
      <c r="CH103" s="3"/>
      <c r="CI103" s="29"/>
      <c r="CJ103" s="29"/>
      <c r="CK103" s="77"/>
      <c r="CL103" s="77"/>
      <c r="CM103" s="119"/>
    </row>
    <row r="104" spans="1:91" s="115" customFormat="1" x14ac:dyDescent="0.35">
      <c r="C104" s="116"/>
      <c r="D104" s="116"/>
      <c r="E104" s="116"/>
      <c r="F104" s="116"/>
      <c r="G104" s="116"/>
      <c r="H104" s="116"/>
      <c r="I104" s="77"/>
      <c r="L104" s="116"/>
      <c r="M104" s="116"/>
      <c r="O104" s="77"/>
      <c r="P104" s="77"/>
      <c r="Q104" s="77"/>
      <c r="R104" s="77"/>
      <c r="X104" s="77"/>
      <c r="Y104" s="77"/>
      <c r="Z104" s="77"/>
      <c r="AA104" s="77"/>
      <c r="AB104" s="77"/>
      <c r="AC104" s="77"/>
      <c r="AD104" s="77"/>
      <c r="AE104" s="77"/>
      <c r="AF104" s="77"/>
      <c r="AG104" s="77"/>
      <c r="AH104" s="77"/>
      <c r="AI104" s="77"/>
      <c r="AN104" s="77"/>
      <c r="AO104" s="77"/>
      <c r="AP104" s="77"/>
      <c r="AQ104" s="77"/>
      <c r="AR104" s="116"/>
      <c r="AS104" s="117"/>
      <c r="AT104" s="78"/>
      <c r="AU104" s="78"/>
      <c r="AV104" s="117"/>
      <c r="AW104" s="117"/>
      <c r="AX104" s="78"/>
      <c r="AY104" s="78"/>
      <c r="AZ104" s="78"/>
      <c r="BA104" s="78"/>
      <c r="BB104" s="117"/>
      <c r="BC104" s="78"/>
      <c r="BD104" s="78"/>
      <c r="BE104" s="78"/>
      <c r="BF104" s="78" t="s">
        <v>875</v>
      </c>
      <c r="BG104" s="78" t="s">
        <v>877</v>
      </c>
      <c r="BH104" s="78"/>
      <c r="BI104" s="78"/>
      <c r="BJ104" s="78"/>
      <c r="BK104" s="168" t="s">
        <v>878</v>
      </c>
      <c r="BL104" s="78"/>
      <c r="BM104" s="78"/>
      <c r="BN104" s="78" t="s">
        <v>879</v>
      </c>
      <c r="BO104" s="78"/>
      <c r="BP104" s="78" t="s">
        <v>880</v>
      </c>
      <c r="BQ104" s="78"/>
      <c r="BR104" s="78"/>
      <c r="BS104" s="78"/>
      <c r="BT104" s="78"/>
      <c r="BU104" s="78"/>
      <c r="BV104" s="78"/>
      <c r="BW104" s="78"/>
      <c r="BX104" s="78"/>
      <c r="BY104" s="117"/>
      <c r="BZ104" s="118"/>
      <c r="CA104" s="118"/>
      <c r="CB104" s="118"/>
      <c r="CC104" s="118"/>
      <c r="CD104" s="38" t="s">
        <v>283</v>
      </c>
      <c r="CE104" s="38" t="s">
        <v>118</v>
      </c>
      <c r="CF104" s="46"/>
      <c r="CG104" s="46"/>
      <c r="CH104" s="48"/>
      <c r="CI104" s="29"/>
      <c r="CJ104" s="29"/>
      <c r="CK104" s="77"/>
      <c r="CL104" s="77"/>
      <c r="CM104" s="119"/>
    </row>
    <row r="105" spans="1:91" s="115" customFormat="1" x14ac:dyDescent="0.35">
      <c r="C105" s="116"/>
      <c r="D105" s="116"/>
      <c r="E105" s="116"/>
      <c r="F105" s="116"/>
      <c r="G105" s="116"/>
      <c r="H105" s="116"/>
      <c r="I105" s="77"/>
      <c r="L105" s="116"/>
      <c r="M105" s="116"/>
      <c r="O105" s="77"/>
      <c r="P105" s="77"/>
      <c r="Q105" s="77"/>
      <c r="R105" s="77"/>
      <c r="X105" s="77"/>
      <c r="Y105" s="77"/>
      <c r="Z105" s="77"/>
      <c r="AA105" s="77"/>
      <c r="AB105" s="77"/>
      <c r="AC105" s="77"/>
      <c r="AD105" s="77"/>
      <c r="AE105" s="77"/>
      <c r="AF105" s="77"/>
      <c r="AG105" s="77"/>
      <c r="AH105" s="77"/>
      <c r="AI105" s="77"/>
      <c r="AN105" s="77"/>
      <c r="AO105" s="77"/>
      <c r="AP105" s="77"/>
      <c r="AQ105" s="77"/>
      <c r="AR105" s="116"/>
      <c r="AS105" s="117"/>
      <c r="AT105" s="78"/>
      <c r="AU105" s="78"/>
      <c r="AV105" s="117"/>
      <c r="AW105" s="117"/>
      <c r="AX105" s="78"/>
      <c r="AY105" s="78"/>
      <c r="AZ105" s="78"/>
      <c r="BA105" s="78"/>
      <c r="BB105" s="117"/>
      <c r="BC105" s="78"/>
      <c r="BD105" s="78"/>
      <c r="BE105" s="78"/>
      <c r="BF105" s="78" t="s">
        <v>876</v>
      </c>
      <c r="BG105" s="78" t="s">
        <v>884</v>
      </c>
      <c r="BH105" s="78"/>
      <c r="BI105" s="78"/>
      <c r="BJ105" s="78"/>
      <c r="BK105" s="168" t="s">
        <v>882</v>
      </c>
      <c r="BL105" s="78"/>
      <c r="BM105" s="78"/>
      <c r="BN105" s="78" t="s">
        <v>883</v>
      </c>
      <c r="BO105" s="78"/>
      <c r="BP105" s="78" t="s">
        <v>881</v>
      </c>
      <c r="BQ105" s="78"/>
      <c r="BR105" s="78"/>
      <c r="BS105" s="78"/>
      <c r="BT105" s="78"/>
      <c r="BU105" s="78"/>
      <c r="BV105" s="78"/>
      <c r="BW105" s="78"/>
      <c r="BX105" s="78"/>
      <c r="BY105" s="117"/>
      <c r="BZ105" s="118"/>
      <c r="CA105" s="118"/>
      <c r="CB105" s="118"/>
      <c r="CC105" s="118"/>
      <c r="CD105" s="46" t="s">
        <v>841</v>
      </c>
      <c r="CE105" s="159" t="s">
        <v>840</v>
      </c>
      <c r="CF105" s="78"/>
      <c r="CG105" s="78"/>
      <c r="CI105" s="116"/>
      <c r="CJ105" s="116"/>
      <c r="CK105" s="77"/>
      <c r="CL105" s="77"/>
      <c r="CM105" s="119"/>
    </row>
    <row r="106" spans="1:91" s="115" customFormat="1" x14ac:dyDescent="0.35">
      <c r="C106" s="116"/>
      <c r="D106" s="116"/>
      <c r="E106" s="116"/>
      <c r="F106" s="116"/>
      <c r="G106" s="116"/>
      <c r="H106" s="116"/>
      <c r="I106" s="77"/>
      <c r="L106" s="116"/>
      <c r="M106" s="116"/>
      <c r="O106" s="77"/>
      <c r="P106" s="77"/>
      <c r="Q106" s="77"/>
      <c r="R106" s="77"/>
      <c r="X106" s="77"/>
      <c r="Y106" s="77"/>
      <c r="Z106" s="77"/>
      <c r="AA106" s="77"/>
      <c r="AB106" s="77"/>
      <c r="AC106" s="77"/>
      <c r="AD106" s="77"/>
      <c r="AE106" s="77"/>
      <c r="AF106" s="77"/>
      <c r="AG106" s="77"/>
      <c r="AH106" s="77"/>
      <c r="AI106" s="77"/>
      <c r="AN106" s="77"/>
      <c r="AO106" s="77"/>
      <c r="AP106" s="77"/>
      <c r="AQ106" s="77"/>
      <c r="AR106" s="116"/>
      <c r="AS106" s="117"/>
      <c r="AT106" s="78"/>
      <c r="AU106" s="78"/>
      <c r="AV106" s="117"/>
      <c r="AW106" s="117"/>
      <c r="AX106" s="78"/>
      <c r="AY106" s="78"/>
      <c r="AZ106" s="78"/>
      <c r="BA106" s="78"/>
      <c r="BB106" s="117"/>
      <c r="BC106" s="78"/>
      <c r="BD106" s="78"/>
      <c r="BE106" s="78"/>
      <c r="BF106" s="78"/>
      <c r="BG106" s="78"/>
      <c r="BH106" s="78"/>
      <c r="BI106" s="78"/>
      <c r="BJ106" s="78"/>
      <c r="BK106" s="78"/>
      <c r="BL106" s="78"/>
      <c r="BM106" s="78"/>
      <c r="BN106" s="78"/>
      <c r="BO106" s="78"/>
      <c r="BP106" s="78"/>
      <c r="BQ106" s="78"/>
      <c r="BR106" s="78"/>
      <c r="BS106" s="78"/>
      <c r="BT106" s="78"/>
      <c r="BU106" s="78"/>
      <c r="BV106" s="78"/>
      <c r="BW106" s="78"/>
      <c r="BX106" s="78"/>
      <c r="BY106" s="117"/>
      <c r="BZ106" s="118"/>
      <c r="CA106" s="118"/>
      <c r="CB106" s="118"/>
      <c r="CC106" s="118"/>
      <c r="CD106" s="142">
        <v>286370</v>
      </c>
      <c r="CE106" s="162" t="s">
        <v>842</v>
      </c>
      <c r="CF106" s="78"/>
      <c r="CG106" s="78"/>
      <c r="CI106" s="116"/>
      <c r="CJ106" s="116"/>
      <c r="CK106" s="77"/>
      <c r="CL106" s="77"/>
      <c r="CM106"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807</v>
      </c>
      <c r="C2" t="s">
        <v>808</v>
      </c>
    </row>
    <row r="3" spans="2:8" ht="15" thickBot="1" x14ac:dyDescent="0.4">
      <c r="D3" s="156"/>
    </row>
    <row r="4" spans="2:8" ht="15" thickBot="1" x14ac:dyDescent="0.4">
      <c r="B4" s="155" t="s">
        <v>805</v>
      </c>
      <c r="C4" s="152" t="s">
        <v>804</v>
      </c>
      <c r="D4" s="152" t="s">
        <v>806</v>
      </c>
      <c r="E4" s="31" t="s">
        <v>22</v>
      </c>
      <c r="F4" s="31" t="s">
        <v>20</v>
      </c>
      <c r="G4" s="31" t="s">
        <v>11</v>
      </c>
      <c r="H4" s="153"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4">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809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2026-05-13T17:14:34Z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