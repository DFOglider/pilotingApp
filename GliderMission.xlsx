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2041914E-BA5D-43EA-B6EA-7621AA1EF2F5}"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9" i="1" l="1"/>
  <c r="V93" i="1" s="1"/>
  <c r="T93" i="1"/>
  <c r="U93" i="1"/>
  <c r="S93" i="1"/>
  <c r="V88" i="1"/>
  <c r="V87" i="1"/>
  <c r="H6" i="4"/>
  <c r="H8" i="4"/>
  <c r="H11" i="4"/>
  <c r="H5" i="4"/>
  <c r="H10" i="4"/>
  <c r="H7" i="4"/>
  <c r="H12" i="4"/>
  <c r="H9" i="4"/>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<sst xmlns="http://schemas.openxmlformats.org/spreadsheetml/2006/main" count="2839" uniqueCount="830">
  <si>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</si>
  <si>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</si>
  <si>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</si>
  <si>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</si>
  <si>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</si>
  <si>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</si>
  <si>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</si>
  <si>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</si>
  <si>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</si>
  <si>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</si>
  <si>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</si>
  <si>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</si>
  <si>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</si>
  <si>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</si>
  <si>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</si>
  <si>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</si>
  <si>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</si>
  <si>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</si>
  <si>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</si>
  <si>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</si>
  <si>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</si>
  <si>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</si>
  <si>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</si>
  <si>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</si>
  <si>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</si>
  <si>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</si>
  <si>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</si>
  <si>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</si>
  <si>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</si>
  <si>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</si>
  <si>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</si>
  <si>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</si>
  <si>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</si>
  <si>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</si>
  <si>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</si>
  <si>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</si>
  <si>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</si>
  <si>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</si>
  <si>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</si>
  <si>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</si>
  <si>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</si>
  <si>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</si>
  <si>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</si>
  <si>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</si>
  <si>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</si>
  <si>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</si>
  <si>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</si>
  <si>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</si>
  <si>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</si>
  <si>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</si>
  <si>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</si>
  <si>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</si>
  <si>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</si>
  <si>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</si>
  <si>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</si>
  <si>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</si>
  <si>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</si>
  <si>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</si>
  <si>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</si>
  <si>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</si>
  <si>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</si>
  <si>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</si>
  <si>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</si>
  <si>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</si>
  <si>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</si>
  <si>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</si>
  <si>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</si>
  <si>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</si>
  <si>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</si>
  <si>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</si>
  <si>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</si>
  <si>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</si>
  <si>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</si>
  <si>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</si>
  <si>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</si>
  <si>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</si>
  <si>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</si>
  <si>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</si>
  <si>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</si>
  <si>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</si>
  <si>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</si>
  <si>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</si>
  <si>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</si>
  <si>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</si>
  <si>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</si>
  <si>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</si>
  <si>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</si>
  <si>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</si>
  <si>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</si>
  <si>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</si>
  <si>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</si>
  <si>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</si>
  <si>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</si>
  <si>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</si>
  <si>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</si>
  <si>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</si>
  <si>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</si>
  <si>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</si>
  <si>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</si>
  <si>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</si>
  <si>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</si>
  <si>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</si>
  <si>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</si>
  <si>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</si>
  <si>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</si>
  <si>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</si>
  <si>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</si>
  <si>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</si>
  <si>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</si>
  <si>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</si>
  <si>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</si>
  <si>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</si>
  <si>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</si>
  <si>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</si>
  <si>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</si>
  <si>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</si>
  <si>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</si>
  <si>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</si>
  <si>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</si>
  <si>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</si>
  <si>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</si>
  <si>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</si>
  <si>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</si>
  <si>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</si>
  <si>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</si>
  <si>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</si>
  <si>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</si>
  <si>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</si>
  <si>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</si>
  <si>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</si>
  <si>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</si>
  <si>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</si>
  <si>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</si>
  <si>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</si>
  <si>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</si>
  <si>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</si>
  <si>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</si>
  <si>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</si>
  <si>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</si>
  <si>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</si>
  <si>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</si>
  <si>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</si>
  <si>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</si>
  <si>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</si>
  <si>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</si>
  <si>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</si>
  <si>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</si>
  <si>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</si>
  <si>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</si>
  <si>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</si>
  <si>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</si>
  <si>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</si>
  <si>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</si>
  <si>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</si>
  <si>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</si>
  <si>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</si>
  <si>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</si>
  <si>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</si>
  <si>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</si>
  <si>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</si>
  <si>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</si>
  <si>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</si>
  <si>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</si>
  <si>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</si>
  <si>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</si>
  <si>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</si>
  <si>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</si>
  <si>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</si>
  <si>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</si>
  <si>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</si>
  <si>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</si>
  <si>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</si>
  <si>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</si>
  <si>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</si>
  <si>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</si>
  <si>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</si>
  <si>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</si>
  <si>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</si>
  <si>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</si>
  <si>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</si>
  <si>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</si>
  <si>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</si>
  <si>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</si>
  <si>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</si>
  <si>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</si>
  <si>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</si>
  <si>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</si>
  <si>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</si>
  <si>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</si>
  <si>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</si>
  <si>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</si>
  <si>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</si>
  <si>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</si>
  <si>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</si>
  <si>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</si>
  <si>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</si>
  <si>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</si>
  <si>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</si>
  <si>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</si>
  <si>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</si>
  <si>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</si>
  <si>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</si>
  <si>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</si>
  <si>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</si>
  <si>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</si>
  <si>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</si>
  <si>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</si>
  <si>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</si>
  <si>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</si>
  <si>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</si>
  <si>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</si>
  <si>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</si>
  <si>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</si>
  <si>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</si>
  <si>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</si>
  <si>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</si>
  <si>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</si>
  <si>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</si>
  <si>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</si>
  <si>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</si>
  <si>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</si>
  <si>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</si>
  <si>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</si>
  <si>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</si>
  <si>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</si>
  <si>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</si>
  <si>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</si>
  <si>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</si>
  <si>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</si>
  <si>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</si>
  <si>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</si>
  <si>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</si>
  <si>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</si>
  <si>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</si>
  <si>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</si>
  <si>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</si>
  <si>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</si>
  <si>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</si>
  <si>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</si>
  <si>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</si>
  <si>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</si>
  <si>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</si>
  <si>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</si>
  <si>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</si>
  <si>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</si>
  <si>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</si>
  <si>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</si>
  <si>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</si>
  <si>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</si>
  <si>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</si>
  <si>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</si>
  <si>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</si>
  <si>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</si>
  <si>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</si>
  <si>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</si>
  <si>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</si>
  <si>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</si>
  <si>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</si>
  <si>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</si>
  <si>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</si>
  <si>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</si>
  <si>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</si>
  <si>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</si>
  <si>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</si>
  <si>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</si>
  <si>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</si>
  <si>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</si>
  <si>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</si>
  <si>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</si>
  <si>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</si>
  <si>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</si>
  <si>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</si>
  <si>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</si>
  <si>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</si>
  <si>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</si>
  <si>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</si>
  <si>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</si>
  <si>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</si>
  <si>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</si>
  <si>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</si>
  <si>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</si>
  <si>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</si>
  <si>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</si>
  <si>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</si>
  <si>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</si>
  <si>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</si>
  <si>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</si>
  <si>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</si>
  <si>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</si>
  <si>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</si>
  <si>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</si>
  <si>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</si>
  <si>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</si>
  <si>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</si>
  <si>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</si>
  <si>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</si>
  <si>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</si>
  <si>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</si>
  <si>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</si>
  <si>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</si>
  <si>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</si>
  <si>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</si>
  <si>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</si>
  <si>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</si>
  <si>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</si>
  <si>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</si>
  <si>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</si>
  <si>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</si>
  <si>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</si>
  <si>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</si>
  <si>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</si>
  <si>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</si>
  <si>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</si>
  <si>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</si>
  <si>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</si>
  <si>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</si>
  <si>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</si>
  <si>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</si>
  <si>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</si>
  <si>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</si>
  <si>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</si>
  <si>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</si>
  <si>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</si>
  <si>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</si>
  <si>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</si>
  <si>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</si>
  <si>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</si>
  <si>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</si>
  <si>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</si>
  <si>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</si>
  <si>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</si>
  <si>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</si>
  <si>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</si>
  <si>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</si>
  <si>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</si>
  <si>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</si>
  <si>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</si>
  <si>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</si>
  <si>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</si>
  <si>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</si>
  <si>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</si>
  <si>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</si>
  <si>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</si>
  <si>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</si>
  <si>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</si>
  <si>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</si>
  <si>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</si>
  <si>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</si>
  <si>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</si>
  <si>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</si>
  <si>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</si>
  <si>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</si>
  <si>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</si>
  <si>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</si>
  <si>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</si>
  <si>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</si>
  <si>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</si>
  <si>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</si>
  <si>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</si>
  <si>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</si>
  <si>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</si>
  <si>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</si>
  <si>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</si>
  <si>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</si>
  <si>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</si>
  <si>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</si>
  <si>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</si>
  <si>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</si>
  <si>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</si>
  <si>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</si>
  <si>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</si>
  <si>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</si>
  <si>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</si>
  <si>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</si>
  <si>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</si>
  <si>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</si>
  <si>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</si>
  <si>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</si>
  <si>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</si>
  <si>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</si>
  <si>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</si>
  <si>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</si>
  <si>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</si>
  <si>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</si>
  <si>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</si>
  <si>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</si>
  <si>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</si>
  <si>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</si>
  <si>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</si>
  <si>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</si>
  <si>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</si>
  <si>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</si>
  <si>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</si>
  <si>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</si>
  <si>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</si>
  <si>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</si>
  <si>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</si>
  <si>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</si>
  <si>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</si>
  <si>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</si>
  <si>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</si>
  <si>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</si>
  <si>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</si>
  <si>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</si>
  <si>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</si>
  <si>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</si>
  <si>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</si>
  <si>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</si>
  <si>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</si>
  <si>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</si>
  <si>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</si>
  <si>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</si>
  <si>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</si>
  <si>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</si>
  <si>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</si>
  <si>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</si>
  <si>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</si>
  <si>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</si>
  <si>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</si>
  <si>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</si>
  <si>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</si>
  <si>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</si>
  <si>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</si>
  <si>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</si>
  <si>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</si>
  <si>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</si>
  <si>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</si>
  <si>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</si>
  <si>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</si>
  <si>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</si>
  <si>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</si>
  <si>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</si>
  <si>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</si>
  <si>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</si>
  <si>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</si>
  <si>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</si>
  <si>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</si>
  <si>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</si>
  <si>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</si>
  <si>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</si>
  <si>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</si>
  <si>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</si>
  <si>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</si>
  <si>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</si>
  <si>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</si>
  <si>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</si>
  <si>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</si>
  <si>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</si>
  <si>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</si>
  <si>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</si>
  <si>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</si>
  <si>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</si>
  <si>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</si>
  <si>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</si>
  <si>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</si>
  <si>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</si>
  <si>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</si>
  <si>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</si>
  <si>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</si>
  <si>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</si>
  <si>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</si>
  <si>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</si>
  <si>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</si>
  <si>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</si>
  <si>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</si>
  <si>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</si>
  <si>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</si>
  <si>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</si>
  <si>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</si>
  <si>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</si>
  <si>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</si>
  <si>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</si>
  <si>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</si>
  <si>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</si>
  <si>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</si>
  <si>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</si>
  <si>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</si>
  <si>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</si>
  <si>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</si>
  <si>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</si>
  <si>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</si>
  <si>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</si>
  <si>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</si>
  <si>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</si>
  <si>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</si>
  <si>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</si>
  <si>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</si>
  <si>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</si>
  <si>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</si>
  <si>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</si>
  <si>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</si>
  <si>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</si>
  <si>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</si>
  <si>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</si>
  <si>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</si>
  <si>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</si>
  <si>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</si>
  <si>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</si>
  <si>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</si>
  <si>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</si>
  <si>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</si>
  <si>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</si>
  <si>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</si>
  <si>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</si>
  <si>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</si>
  <si>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</si>
  <si>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</si>
  <si>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</si>
  <si>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</si>
  <si>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</si>
  <si>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</si>
  <si>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</si>
  <si>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</si>
  <si>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</si>
  <si>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</si>
  <si>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</si>
  <si>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</si>
  <si>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</si>
  <si>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</si>
  <si>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</si>
  <si>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</si>
  <si>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</si>
  <si>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</si>
  <si>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</si>
  <si>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</si>
  <si>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</si>
  <si>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</si>
  <si>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</si>
  <si>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</si>
  <si>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</si>
  <si>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</si>
  <si>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</si>
  <si>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</si>
  <si>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</si>
  <si>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</si>
  <si>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</si>
  <si>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</si>
  <si>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</si>
  <si>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</si>
  <si>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</si>
  <si>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</si>
  <si>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</si>
  <si>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</si>
  <si>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</si>
  <si>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</si>
  <si>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</si>
  <si>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</si>
  <si>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</si>
  <si>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</si>
  <si>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</si>
  <si>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</si>
  <si>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</si>
  <si>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</si>
  <si>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</si>
  <si>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</si>
  <si>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</si>
  <si>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</si>
  <si>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</si>
  <si>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</si>
  <si>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</si>
  <si>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</si>
  <si>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</si>
  <si>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</si>
  <si>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</si>
  <si>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</si>
  <si>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</si>
  <si>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</si>
  <si>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</si>
  <si>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</si>
  <si>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</si>
  <si>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</si>
  <si>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</si>
  <si>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</si>
  <si>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</si>
  <si>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</si>
  <si>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</si>
  <si>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</si>
  <si>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</si>
  <si>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</si>
  <si>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</si>
  <si>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</si>
  <si>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</si>
  <si>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</si>
  <si>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</si>
  <si>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</si>
  <si>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</si>
  <si>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</si>
  <si>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</si>
  <si>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</si>
  <si>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</si>
  <si>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</si>
  <si>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</si>
  <si>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</si>
  <si>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</si>
  <si>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</si>
  <si>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</si>
  <si>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</si>
  <si>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</si>
  <si>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</si>
  <si>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</si>
  <si>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</si>
  <si>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</si>
  <si>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</si>
  <si>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</si>
  <si>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</si>
  <si>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</si>
  <si>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</si>
  <si>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</si>
  <si>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</si>
  <si>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</si>
  <si>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</si>
  <si>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</si>
  <si>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</si>
  <si>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</si>
  <si>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</si>
  <si>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</si>
  <si>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</si>
  <si>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</si>
  <si>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</si>
  <si>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</si>
  <si>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</si>
  <si>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</si>
  <si>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</si>
  <si>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</si>
  <si>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</si>
  <si>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</si>
  <si>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</si>
  <si>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</si>
  <si>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</si>
  <si>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</si>
  <si>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</si>
  <si>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</si>
  <si>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</si>
  <si>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</si>
  <si>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</si>
  <si>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</si>
  <si>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</si>
  <si>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</si>
  <si>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</si>
  <si>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</si>
  <si>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</si>
  <si>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</si>
  <si>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</si>
  <si>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</si>
  <si>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</si>
  <si>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</si>
  <si>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</si>
  <si>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</si>
  <si>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</si>
  <si>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</si>
  <si>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</si>
  <si>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</si>
  <si>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</si>
  <si>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</si>
  <si>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</si>
  <si>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</si>
  <si>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</si>
  <si>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</si>
  <si>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</si>
  <si>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</si>
  <si>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</si>
  <si>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</si>
  <si>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</si>
  <si>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</si>
  <si>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</si>
  <si>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</si>
  <si>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</si>
  <si>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</si>
  <si>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</si>
  <si>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</si>
  <si>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</si>
  <si>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</si>
  <si>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</si>
  <si>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</si>
  <si>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</si>
  <si>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</si>
  <si>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</si>
  <si>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</si>
  <si>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</si>
  <si>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</si>
  <si>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</si>
  <si>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</si>
  <si>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</si>
  <si>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</si>
  <si>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</si>
  <si>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</si>
  <si>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</si>
  <si>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</si>
  <si>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</si>
  <si>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</si>
  <si>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</si>
  <si>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</si>
  <si>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</si>
  <si>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</si>
  <si>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</si>
  <si>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</si>
  <si>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</si>
  <si>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</si>
  <si>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</si>
  <si>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</si>
  <si>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</si>
  <si>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</si>
  <si>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</si>
  <si>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</si>
  <si>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</si>
  <si>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</si>
  <si>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</si>
  <si>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</si>
  <si>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</si>
  <si>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</si>
  <si>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</si>
  <si>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</si>
  <si>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</si>
  <si>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</si>
  <si>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</si>
  <si>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</si>
  <si>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</si>
  <si>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</si>
  <si>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</si>
  <si>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</si>
  <si>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</si>
  <si>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</si>
  <si>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</si>
  <si>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</si>
  <si>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</si>
  <si>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</si>
  <si>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</si>
  <si>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</si>
  <si>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</si>
  <si>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</si>
  <si>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</si>
  <si>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</si>
  <si>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</si>
  <si>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</si>
  <si>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</si>
  <si>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</si>
  <si>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</si>
  <si>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</si>
  <si>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</si>
  <si>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</si>
  <si>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</si>
  <si>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</si>
  <si>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</si>
  <si>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</si>
  <si>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</si>
  <si>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</si>
  <si>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</si>
  <si>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</si>
  <si>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</si>
  <si>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</si>
  <si>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</si>
  <si>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</si>
  <si>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</si>
  <si>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</si>
  <si>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</si>
  <si>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</si>
  <si>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</si>
  <si>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</si>
  <si>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</si>
  <si>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</si>
  <si>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</si>
  <si>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</si>
  <si>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</si>
  <si>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</si>
  <si>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</si>
  <si>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</si>
  <si>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</si>
  <si>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</si>
  <si>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</si>
  <si>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</si>
  <si>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</si>
  <si>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</si>
  <si>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</si>
  <si>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</si>
  <si>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</si>
  <si>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</si>
  <si>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</si>
  <si>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</si>
  <si>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</si>
  <si>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</si>
  <si>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</si>
  <si>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</si>
  <si>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</si>
  <si>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</si>
  <si>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</si>
  <si>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</si>
  <si>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</si>
  <si>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</si>
  <si>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</si>
  <si>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</si>
  <si>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</si>
  <si>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</si>
  <si>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</si>
  <si>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</si>
  <si>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</si>
  <si>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</si>
  <si>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</si>
  <si>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</si>
  <si>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</si>
  <si>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</si>
  <si>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</si>
  <si>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</si>
  <si>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</si>
  <si>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</si>
  <si>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</si>
  <si>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</si>
  <si>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</si>
  <si>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</si>
  <si>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</si>
  <si>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</si>
  <si>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</si>
  <si>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GL1-GL2-GL3-GL7-Further-GL7-GL3-GL2-GL1-TRI-DR</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</si>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</sst>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4">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100"/>
  <sheetViews>
    <sheetView tabSelected="1" zoomScaleNormal="100" workbookViewId="0">
      <pane xSplit="5" ySplit="2" topLeftCell="BQ79" activePane="bottomRight" state="frozen"/>
      <selection pane="topRight" activeCell="F1" sqref="F1"/>
      <selection pane="bottomLeft" activeCell="A3" sqref="A3"/>
      <selection pane="bottomRight" activeCell="BS93" sqref="BS93"/>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152" t="s">
        <v>803</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820</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820</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820</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820</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820</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v>3</v>
      </c>
      <c r="B84" s="14">
        <v>20250606</v>
      </c>
      <c r="C84" s="14">
        <v>20250609</v>
      </c>
      <c r="D84" s="14" t="s">
        <v>53</v>
      </c>
      <c r="E84" s="151">
        <v>92</v>
      </c>
      <c r="F84" s="14">
        <v>4800937</v>
      </c>
      <c r="G84" s="14" t="s">
        <v>15</v>
      </c>
      <c r="H84" s="18" t="s">
        <v>798</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801</v>
      </c>
    </row>
    <row r="85" spans="1:72" s="88" customFormat="1" x14ac:dyDescent="0.35">
      <c r="A85" s="124">
        <v>3</v>
      </c>
      <c r="B85" s="14">
        <v>20250609</v>
      </c>
      <c r="C85" s="14">
        <v>20250703</v>
      </c>
      <c r="D85" s="14" t="s">
        <v>53</v>
      </c>
      <c r="E85" s="151">
        <v>93</v>
      </c>
      <c r="F85" s="14">
        <v>4800937</v>
      </c>
      <c r="G85" s="14" t="s">
        <v>15</v>
      </c>
      <c r="H85" s="18" t="s">
        <v>799</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800</v>
      </c>
      <c r="BS85" s="18" t="s">
        <v>794</v>
      </c>
      <c r="BT85" s="21" t="s">
        <v>788</v>
      </c>
    </row>
    <row r="86" spans="1:72" s="88" customFormat="1" x14ac:dyDescent="0.35">
      <c r="A86" s="124">
        <v>4</v>
      </c>
      <c r="B86" s="14">
        <v>20250721</v>
      </c>
      <c r="C86" s="14">
        <v>20250812</v>
      </c>
      <c r="D86" s="14" t="s">
        <v>44</v>
      </c>
      <c r="E86" s="14">
        <v>111</v>
      </c>
      <c r="F86" s="14">
        <v>4800993</v>
      </c>
      <c r="G86" s="14" t="s">
        <v>15</v>
      </c>
      <c r="H86" s="18" t="s">
        <v>802</v>
      </c>
      <c r="I86" s="2">
        <v>29</v>
      </c>
      <c r="J86" s="2">
        <v>23.9</v>
      </c>
      <c r="K86" s="156">
        <v>44.389000000000003</v>
      </c>
      <c r="L86" s="156">
        <v>-63.354599999999998</v>
      </c>
      <c r="M86" s="100">
        <v>0.58194444444444449</v>
      </c>
      <c r="N86" s="18">
        <v>42.47</v>
      </c>
      <c r="O86" s="18">
        <v>-63.39</v>
      </c>
      <c r="P86" s="18">
        <v>44.51</v>
      </c>
      <c r="Q86" s="18">
        <v>-61.44</v>
      </c>
      <c r="R86" s="2" t="s">
        <v>804</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22" t="s">
        <v>702</v>
      </c>
      <c r="BO86" s="2"/>
      <c r="BP86" s="2" t="s">
        <v>670</v>
      </c>
      <c r="BQ86" s="2" t="s">
        <v>205</v>
      </c>
      <c r="BR86" s="18" t="s">
        <v>791</v>
      </c>
      <c r="BS86" s="18"/>
      <c r="BT86" s="21" t="s">
        <v>805</v>
      </c>
    </row>
    <row r="87" spans="1:72" s="88" customFormat="1" x14ac:dyDescent="0.35">
      <c r="A87" s="124">
        <v>5</v>
      </c>
      <c r="B87" s="14">
        <v>20250904</v>
      </c>
      <c r="C87" s="14">
        <v>20250929</v>
      </c>
      <c r="D87" s="14" t="s">
        <v>53</v>
      </c>
      <c r="E87" s="14">
        <v>95</v>
      </c>
      <c r="F87" s="14">
        <v>4800937</v>
      </c>
      <c r="G87" s="14" t="s">
        <v>15</v>
      </c>
      <c r="H87" s="18" t="s">
        <v>808</v>
      </c>
      <c r="I87" s="2">
        <v>29.1</v>
      </c>
      <c r="J87" s="154">
        <v>25</v>
      </c>
      <c r="K87" s="157">
        <v>44.389499999999998</v>
      </c>
      <c r="L87" s="157">
        <v>-63.362900000000003</v>
      </c>
      <c r="M87" s="155">
        <v>0.56597222222222221</v>
      </c>
      <c r="N87" s="18">
        <v>42.23</v>
      </c>
      <c r="O87" s="18">
        <v>-63.37</v>
      </c>
      <c r="P87" s="18">
        <v>44.4</v>
      </c>
      <c r="Q87" s="18">
        <v>-61.18</v>
      </c>
      <c r="R87" s="2" t="s">
        <v>811</v>
      </c>
      <c r="S87" s="2">
        <v>25</v>
      </c>
      <c r="T87" s="2">
        <v>658</v>
      </c>
      <c r="U87" s="2">
        <v>934</v>
      </c>
      <c r="V87" s="2">
        <f>U87*2</f>
        <v>1868</v>
      </c>
      <c r="W87" s="18" t="s">
        <v>36</v>
      </c>
      <c r="X87" s="18">
        <v>1</v>
      </c>
      <c r="Y87" s="18"/>
      <c r="Z87" s="18" t="s">
        <v>183</v>
      </c>
      <c r="AA87" s="18"/>
      <c r="AB87" s="18"/>
      <c r="AC87" s="18" t="s">
        <v>781</v>
      </c>
      <c r="AD87" s="18"/>
      <c r="AE87" s="2">
        <v>4</v>
      </c>
      <c r="AF87" s="2">
        <v>3</v>
      </c>
      <c r="AG87" s="2">
        <v>0.5</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806</v>
      </c>
      <c r="BC87" s="22" t="s">
        <v>420</v>
      </c>
      <c r="BD87" s="22" t="s">
        <v>795</v>
      </c>
      <c r="BE87" s="22" t="s">
        <v>797</v>
      </c>
      <c r="BF87" s="22"/>
      <c r="BG87" s="22"/>
      <c r="BH87" s="22"/>
      <c r="BI87" s="20" t="s">
        <v>229</v>
      </c>
      <c r="BJ87" s="49" t="s">
        <v>171</v>
      </c>
      <c r="BK87" s="22" t="s">
        <v>98</v>
      </c>
      <c r="BL87" s="22" t="s">
        <v>749</v>
      </c>
      <c r="BM87" s="22" t="s">
        <v>138</v>
      </c>
      <c r="BN87" s="163">
        <v>1272212</v>
      </c>
      <c r="BO87" s="2"/>
      <c r="BP87" s="2" t="s">
        <v>670</v>
      </c>
      <c r="BQ87" s="2" t="s">
        <v>205</v>
      </c>
      <c r="BR87" s="18" t="s">
        <v>800</v>
      </c>
      <c r="BS87" s="18"/>
      <c r="BT87" s="21" t="s">
        <v>818</v>
      </c>
    </row>
    <row r="88" spans="1:72" s="88" customFormat="1" x14ac:dyDescent="0.35">
      <c r="A88" s="124">
        <v>6</v>
      </c>
      <c r="B88" s="14">
        <v>20251006</v>
      </c>
      <c r="C88" s="14">
        <v>20251027</v>
      </c>
      <c r="D88" s="14" t="s">
        <v>44</v>
      </c>
      <c r="E88" s="14">
        <v>115</v>
      </c>
      <c r="F88" s="14">
        <v>4800993</v>
      </c>
      <c r="G88" s="14" t="s">
        <v>15</v>
      </c>
      <c r="H88" s="18" t="s">
        <v>825</v>
      </c>
      <c r="I88" s="2">
        <v>29.2</v>
      </c>
      <c r="J88" s="2">
        <v>23.6</v>
      </c>
      <c r="K88" s="11">
        <v>44.476999999999997</v>
      </c>
      <c r="L88" s="11">
        <v>-63.432499999999997</v>
      </c>
      <c r="M88" s="100">
        <v>0.55694444444444446</v>
      </c>
      <c r="N88" s="18">
        <v>42.46</v>
      </c>
      <c r="O88" s="18">
        <v>-63.44</v>
      </c>
      <c r="P88" s="18">
        <v>44.54</v>
      </c>
      <c r="Q88" s="18">
        <v>-61.42</v>
      </c>
      <c r="R88" s="2" t="s">
        <v>822</v>
      </c>
      <c r="S88" s="2">
        <v>21</v>
      </c>
      <c r="T88" s="2">
        <v>708</v>
      </c>
      <c r="U88" s="2">
        <v>1174</v>
      </c>
      <c r="V88" s="2">
        <f>U88*2</f>
        <v>2348</v>
      </c>
      <c r="W88" s="18" t="s">
        <v>36</v>
      </c>
      <c r="X88" s="18">
        <v>1</v>
      </c>
      <c r="Y88" s="18"/>
      <c r="Z88" s="18" t="s">
        <v>183</v>
      </c>
      <c r="AA88" s="18"/>
      <c r="AB88" s="18"/>
      <c r="AC88" s="18" t="s">
        <v>781</v>
      </c>
      <c r="AD88" s="18"/>
      <c r="AE88" s="2">
        <v>0</v>
      </c>
      <c r="AF88" s="2">
        <v>0</v>
      </c>
      <c r="AG88" s="2">
        <v>0</v>
      </c>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810</v>
      </c>
      <c r="BO88" s="2" t="s">
        <v>819</v>
      </c>
      <c r="BP88" s="2" t="s">
        <v>670</v>
      </c>
      <c r="BQ88" s="2" t="s">
        <v>205</v>
      </c>
      <c r="BR88" s="18" t="s">
        <v>197</v>
      </c>
      <c r="BS88" s="18"/>
      <c r="BT88" s="21" t="s">
        <v>823</v>
      </c>
    </row>
    <row r="89" spans="1:72" s="88" customFormat="1" x14ac:dyDescent="0.35">
      <c r="A89" s="124">
        <v>7</v>
      </c>
      <c r="B89" s="14">
        <v>20251027</v>
      </c>
      <c r="C89" s="14">
        <v>20251120</v>
      </c>
      <c r="D89" s="14" t="s">
        <v>53</v>
      </c>
      <c r="E89" s="14">
        <v>97</v>
      </c>
      <c r="F89" s="14">
        <v>4800937</v>
      </c>
      <c r="G89" s="14" t="s">
        <v>15</v>
      </c>
      <c r="H89" s="18" t="s">
        <v>821</v>
      </c>
      <c r="I89" s="2">
        <v>29.2</v>
      </c>
      <c r="J89" s="2">
        <v>25.2</v>
      </c>
      <c r="K89" s="14">
        <v>44.5152</v>
      </c>
      <c r="L89" s="14">
        <v>-63.418599999999998</v>
      </c>
      <c r="M89" s="100">
        <v>0.55069444444444449</v>
      </c>
      <c r="N89" s="18">
        <v>42.46</v>
      </c>
      <c r="O89" s="18">
        <v>-63.38</v>
      </c>
      <c r="P89" s="18">
        <v>44.52</v>
      </c>
      <c r="Q89" s="18">
        <v>-61.41</v>
      </c>
      <c r="R89" s="2" t="s">
        <v>804</v>
      </c>
      <c r="S89" s="2">
        <v>24</v>
      </c>
      <c r="T89" s="2">
        <v>662</v>
      </c>
      <c r="U89" s="2">
        <v>958</v>
      </c>
      <c r="V89" s="2">
        <f>U89*2</f>
        <v>1916</v>
      </c>
      <c r="W89" s="18" t="s">
        <v>36</v>
      </c>
      <c r="X89" s="18">
        <v>1</v>
      </c>
      <c r="Y89" s="18"/>
      <c r="Z89" s="18" t="s">
        <v>183</v>
      </c>
      <c r="AA89" s="18"/>
      <c r="AB89" s="18"/>
      <c r="AC89" s="18" t="s">
        <v>781</v>
      </c>
      <c r="AD89" s="18"/>
      <c r="AE89" s="2">
        <v>0</v>
      </c>
      <c r="AF89" s="2">
        <v>0</v>
      </c>
      <c r="AG89" s="2">
        <v>0</v>
      </c>
      <c r="AH89" s="2">
        <v>1023</v>
      </c>
      <c r="AI89" s="18">
        <v>20251014</v>
      </c>
      <c r="AJ89" s="18" t="s">
        <v>752</v>
      </c>
      <c r="AK89" s="18" t="s">
        <v>787</v>
      </c>
      <c r="AL89" s="14">
        <v>32</v>
      </c>
      <c r="AM89" s="20"/>
      <c r="AN89" s="22"/>
      <c r="AO89" s="22"/>
      <c r="AP89" s="20"/>
      <c r="AQ89" s="20"/>
      <c r="AR89" s="22"/>
      <c r="AS89" s="22"/>
      <c r="AT89" s="22"/>
      <c r="AU89" s="22"/>
      <c r="AV89" s="10" t="s">
        <v>86</v>
      </c>
      <c r="AW89" s="16">
        <v>45629</v>
      </c>
      <c r="AX89" s="22" t="s">
        <v>461</v>
      </c>
      <c r="AY89" s="22"/>
      <c r="AZ89" s="22"/>
      <c r="BA89" s="22" t="s">
        <v>760</v>
      </c>
      <c r="BB89" s="22" t="s">
        <v>806</v>
      </c>
      <c r="BC89" s="22" t="s">
        <v>420</v>
      </c>
      <c r="BD89" s="22" t="s">
        <v>795</v>
      </c>
      <c r="BE89" s="22" t="s">
        <v>797</v>
      </c>
      <c r="BF89" s="22"/>
      <c r="BG89" s="22"/>
      <c r="BH89" s="22"/>
      <c r="BI89" s="20" t="s">
        <v>229</v>
      </c>
      <c r="BJ89" s="49" t="s">
        <v>171</v>
      </c>
      <c r="BK89" s="22" t="s">
        <v>95</v>
      </c>
      <c r="BL89" s="22" t="s">
        <v>588</v>
      </c>
      <c r="BM89" s="22" t="s">
        <v>138</v>
      </c>
      <c r="BN89" s="2">
        <v>1272212</v>
      </c>
      <c r="BO89" s="2"/>
      <c r="BP89" s="2" t="s">
        <v>670</v>
      </c>
      <c r="BQ89" s="2" t="s">
        <v>205</v>
      </c>
      <c r="BR89" s="18" t="s">
        <v>197</v>
      </c>
      <c r="BS89" s="18"/>
      <c r="BT89" s="21" t="s">
        <v>826</v>
      </c>
    </row>
    <row r="90" spans="1:72" s="88" customFormat="1" x14ac:dyDescent="0.35">
      <c r="A90" s="124"/>
      <c r="B90" s="14"/>
      <c r="C90" s="14"/>
      <c r="D90" s="14" t="s">
        <v>53</v>
      </c>
      <c r="E90" s="14">
        <v>98</v>
      </c>
      <c r="F90" s="14">
        <v>4800937</v>
      </c>
      <c r="G90" s="14" t="s">
        <v>15</v>
      </c>
      <c r="H90" s="18" t="s">
        <v>827</v>
      </c>
      <c r="I90" s="2"/>
      <c r="J90" s="2"/>
      <c r="K90" s="14"/>
      <c r="L90" s="14"/>
      <c r="M90" s="100"/>
      <c r="N90" s="18"/>
      <c r="O90" s="18"/>
      <c r="P90" s="18"/>
      <c r="Q90" s="18"/>
      <c r="R90" s="2" t="s">
        <v>444</v>
      </c>
      <c r="S90" s="2"/>
      <c r="T90" s="2"/>
      <c r="U90" s="2"/>
      <c r="V90" s="2"/>
      <c r="W90" s="18" t="s">
        <v>36</v>
      </c>
      <c r="X90" s="18">
        <v>1</v>
      </c>
      <c r="Y90" s="18"/>
      <c r="Z90" s="18" t="s">
        <v>183</v>
      </c>
      <c r="AA90" s="18"/>
      <c r="AB90" s="18"/>
      <c r="AC90" s="18" t="s">
        <v>781</v>
      </c>
      <c r="AD90" s="18"/>
      <c r="AE90" s="2"/>
      <c r="AF90" s="2"/>
      <c r="AG90" s="2"/>
      <c r="AH90" s="2">
        <v>1023</v>
      </c>
      <c r="AI90" s="18">
        <v>20251014</v>
      </c>
      <c r="AJ90" s="18" t="s">
        <v>752</v>
      </c>
      <c r="AK90" s="18" t="s">
        <v>787</v>
      </c>
      <c r="AL90" s="14">
        <v>32</v>
      </c>
      <c r="AM90" s="20"/>
      <c r="AN90" s="22"/>
      <c r="AO90" s="22"/>
      <c r="AP90" s="20"/>
      <c r="AQ90" s="20"/>
      <c r="AR90" s="22"/>
      <c r="AS90" s="22"/>
      <c r="AT90" s="22"/>
      <c r="AU90" s="22"/>
      <c r="AV90" s="10" t="s">
        <v>86</v>
      </c>
      <c r="AW90" s="16">
        <v>45629</v>
      </c>
      <c r="AX90" s="22" t="s">
        <v>461</v>
      </c>
      <c r="AY90" s="22"/>
      <c r="AZ90" s="22"/>
      <c r="BA90" s="22" t="s">
        <v>760</v>
      </c>
      <c r="BB90" s="22" t="s">
        <v>806</v>
      </c>
      <c r="BC90" s="22" t="s">
        <v>420</v>
      </c>
      <c r="BD90" s="22" t="s">
        <v>795</v>
      </c>
      <c r="BE90" s="22" t="s">
        <v>797</v>
      </c>
      <c r="BF90" s="22"/>
      <c r="BG90" s="22"/>
      <c r="BH90" s="22"/>
      <c r="BI90" s="20" t="s">
        <v>229</v>
      </c>
      <c r="BJ90" s="49" t="s">
        <v>171</v>
      </c>
      <c r="BK90" s="22" t="s">
        <v>95</v>
      </c>
      <c r="BL90" s="22" t="s">
        <v>588</v>
      </c>
      <c r="BM90" s="22" t="s">
        <v>138</v>
      </c>
      <c r="BN90" s="2">
        <v>1272212</v>
      </c>
      <c r="BO90" s="2"/>
      <c r="BP90" s="2" t="s">
        <v>670</v>
      </c>
      <c r="BQ90" s="2" t="s">
        <v>205</v>
      </c>
      <c r="BR90" s="18"/>
      <c r="BS90" s="18"/>
      <c r="BT90" s="21" t="s">
        <v>828</v>
      </c>
    </row>
    <row r="91" spans="1:72" s="88" customFormat="1" x14ac:dyDescent="0.35">
      <c r="A91" s="124"/>
      <c r="B91" s="14"/>
      <c r="C91" s="14"/>
      <c r="D91" s="14"/>
      <c r="E91" s="14"/>
      <c r="F91" s="14"/>
      <c r="G91" s="14"/>
      <c r="H91" s="18"/>
      <c r="I91" s="2"/>
      <c r="J91" s="2"/>
      <c r="K91" s="14"/>
      <c r="L91" s="14"/>
      <c r="M91" s="100"/>
      <c r="N91" s="18"/>
      <c r="O91" s="18"/>
      <c r="P91" s="18"/>
      <c r="Q91" s="18"/>
      <c r="R91" s="2"/>
      <c r="S91" s="2"/>
      <c r="T91" s="2"/>
      <c r="U91" s="2"/>
      <c r="V91" s="2"/>
      <c r="W91" s="18"/>
      <c r="X91" s="18"/>
      <c r="Y91" s="18"/>
      <c r="Z91" s="18"/>
      <c r="AA91" s="18"/>
      <c r="AB91" s="18"/>
      <c r="AC91" s="18"/>
      <c r="AD91" s="18"/>
      <c r="AE91" s="2"/>
      <c r="AF91" s="2"/>
      <c r="AG91" s="2"/>
      <c r="AH91" s="2"/>
      <c r="AI91" s="18"/>
      <c r="AJ91" s="18"/>
      <c r="AK91" s="18"/>
      <c r="AL91" s="14"/>
      <c r="AM91" s="20"/>
      <c r="AN91" s="22"/>
      <c r="AO91" s="22"/>
      <c r="AP91" s="20"/>
      <c r="AQ91" s="20"/>
      <c r="AR91" s="22"/>
      <c r="AS91" s="22"/>
      <c r="AT91" s="22"/>
      <c r="AU91" s="22"/>
      <c r="AV91" s="10"/>
      <c r="AW91" s="16"/>
      <c r="AX91" s="22"/>
      <c r="AY91" s="22"/>
      <c r="AZ91" s="22"/>
      <c r="BA91" s="22"/>
      <c r="BB91" s="22"/>
      <c r="BC91" s="22"/>
      <c r="BD91" s="22"/>
      <c r="BE91" s="22"/>
      <c r="BF91" s="22"/>
      <c r="BG91" s="22"/>
      <c r="BH91" s="22"/>
      <c r="BI91" s="20"/>
      <c r="BJ91" s="146"/>
      <c r="BK91" s="22"/>
      <c r="BL91" s="22"/>
      <c r="BM91" s="22"/>
      <c r="BN91" s="22"/>
      <c r="BO91" s="2"/>
      <c r="BP91" s="149"/>
      <c r="BQ91" s="14"/>
      <c r="BR91" s="18"/>
      <c r="BS91" s="18"/>
      <c r="BT91" s="21"/>
    </row>
    <row r="92" spans="1:72" s="88" customFormat="1" x14ac:dyDescent="0.35">
      <c r="A92" s="124">
        <v>8</v>
      </c>
      <c r="B92" s="14"/>
      <c r="C92" s="14"/>
      <c r="D92" s="14"/>
      <c r="E92" s="14"/>
      <c r="F92" s="14"/>
      <c r="G92" s="14"/>
      <c r="H92" s="18"/>
      <c r="I92" s="2"/>
      <c r="J92" s="2"/>
      <c r="K92" s="14"/>
      <c r="L92" s="14"/>
      <c r="M92" s="2"/>
      <c r="N92" s="18"/>
      <c r="O92" s="18"/>
      <c r="P92" s="18"/>
      <c r="Q92" s="18"/>
      <c r="R92" s="2"/>
      <c r="S92" s="2"/>
      <c r="T92" s="2"/>
      <c r="U92" s="2"/>
      <c r="V92" s="2"/>
      <c r="W92" s="18"/>
      <c r="X92" s="18"/>
      <c r="Y92" s="18"/>
      <c r="Z92" s="18"/>
      <c r="AA92" s="18"/>
      <c r="AB92" s="18"/>
      <c r="AC92" s="18"/>
      <c r="AD92" s="18"/>
      <c r="AE92" s="2"/>
      <c r="AF92" s="2"/>
      <c r="AG92" s="2"/>
      <c r="AH92" s="2"/>
      <c r="AI92" s="18"/>
      <c r="AJ92" s="18"/>
      <c r="AK92" s="18"/>
      <c r="AL92" s="14"/>
      <c r="AM92" s="20"/>
      <c r="AN92" s="22"/>
      <c r="AO92" s="22"/>
      <c r="AP92" s="20"/>
      <c r="AQ92" s="20"/>
      <c r="AR92" s="22"/>
      <c r="AS92" s="22"/>
      <c r="AT92" s="22"/>
      <c r="AU92" s="22"/>
      <c r="AV92" s="20"/>
      <c r="AW92" s="22"/>
      <c r="AX92" s="22"/>
      <c r="AY92" s="22"/>
      <c r="AZ92" s="22"/>
      <c r="BA92" s="22"/>
      <c r="BB92" s="22"/>
      <c r="BC92" s="22"/>
      <c r="BD92" s="22"/>
      <c r="BE92" s="22"/>
      <c r="BF92" s="22"/>
      <c r="BG92" s="22"/>
      <c r="BH92" s="22"/>
      <c r="BI92" s="20"/>
      <c r="BJ92" s="146"/>
      <c r="BK92" s="22" t="s">
        <v>98</v>
      </c>
      <c r="BL92" s="150" t="s">
        <v>749</v>
      </c>
      <c r="BM92" s="22"/>
      <c r="BN92" s="22"/>
      <c r="BO92" s="2"/>
      <c r="BP92" s="149"/>
      <c r="BQ92" s="14"/>
      <c r="BR92" s="18"/>
      <c r="BS92" s="18"/>
      <c r="BT92" s="21"/>
    </row>
    <row r="93" spans="1:72" s="115" customFormat="1" x14ac:dyDescent="0.35">
      <c r="B93" s="116"/>
      <c r="C93" s="116"/>
      <c r="D93" s="116"/>
      <c r="E93" s="116"/>
      <c r="F93" s="116"/>
      <c r="G93" s="116"/>
      <c r="H93" s="77"/>
      <c r="K93" s="116"/>
      <c r="L93" s="116"/>
      <c r="N93" s="77"/>
      <c r="O93" s="77"/>
      <c r="P93" s="77"/>
      <c r="Q93" s="77"/>
      <c r="S93" s="115">
        <f>SUM(S3:S89)</f>
        <v>1632</v>
      </c>
      <c r="T93" s="115">
        <f>SUM(T3:T89)</f>
        <v>41669</v>
      </c>
      <c r="U93" s="115">
        <f>SUM(U3:U89)</f>
        <v>74897</v>
      </c>
      <c r="V93" s="115">
        <f>SUM(V3:V89)</f>
        <v>88621</v>
      </c>
      <c r="W93" s="77"/>
      <c r="X93" s="77"/>
      <c r="Y93" s="77"/>
      <c r="Z93" s="77"/>
      <c r="AA93" s="77"/>
      <c r="AB93" s="77"/>
      <c r="AC93" s="77"/>
      <c r="AD93" s="77"/>
      <c r="AI93" s="77"/>
      <c r="AJ93" s="77"/>
      <c r="AK93" s="77"/>
      <c r="AL93" s="116"/>
      <c r="AM93" s="27"/>
      <c r="AN93" s="26"/>
      <c r="AO93" s="78"/>
      <c r="AP93" s="117"/>
      <c r="AQ93" s="27"/>
      <c r="AR93" s="26"/>
      <c r="AS93" s="78"/>
      <c r="AT93" s="78"/>
      <c r="AU93" s="78"/>
      <c r="AV93" s="117"/>
      <c r="AW93" s="78"/>
      <c r="AX93" s="78"/>
      <c r="AY93" s="78"/>
      <c r="AZ93" s="148" t="s">
        <v>765</v>
      </c>
      <c r="BA93" s="6" t="s">
        <v>760</v>
      </c>
      <c r="BB93" s="78" t="s">
        <v>778</v>
      </c>
      <c r="BC93" s="78"/>
      <c r="BD93" s="78" t="s">
        <v>795</v>
      </c>
      <c r="BE93" s="78"/>
      <c r="BF93" s="78"/>
      <c r="BG93" s="78"/>
      <c r="BH93" s="78"/>
      <c r="BI93" s="117"/>
      <c r="BJ93" s="118"/>
      <c r="BK93" s="38" t="s">
        <v>95</v>
      </c>
      <c r="BL93" s="144" t="s">
        <v>588</v>
      </c>
      <c r="BM93" s="38"/>
      <c r="BN93" s="38"/>
      <c r="BO93" s="3"/>
      <c r="BP93" s="121"/>
      <c r="BQ93" s="45"/>
      <c r="BR93" s="77"/>
      <c r="BS93" s="77" t="s">
        <v>829</v>
      </c>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27"/>
      <c r="AN94" s="26"/>
      <c r="AO94" s="78"/>
      <c r="AP94" s="117"/>
      <c r="AQ94" s="27"/>
      <c r="AR94" s="26"/>
      <c r="AS94" s="78"/>
      <c r="AT94" s="78"/>
      <c r="AU94" s="78"/>
      <c r="AV94" s="27" t="s">
        <v>74</v>
      </c>
      <c r="AW94" s="26" t="s">
        <v>754</v>
      </c>
      <c r="AX94" s="78"/>
      <c r="AY94" s="78"/>
      <c r="AZ94" s="148"/>
      <c r="BA94" s="6" t="s">
        <v>761</v>
      </c>
      <c r="BB94" s="78" t="s">
        <v>779</v>
      </c>
      <c r="BC94" s="78"/>
      <c r="BD94" s="78" t="s">
        <v>796</v>
      </c>
      <c r="BE94" s="78"/>
      <c r="BF94" s="78"/>
      <c r="BG94" s="78"/>
      <c r="BH94" s="78"/>
      <c r="BI94" s="117"/>
      <c r="BJ94" s="118"/>
      <c r="BK94" s="38" t="s">
        <v>117</v>
      </c>
      <c r="BL94" s="145" t="s">
        <v>807</v>
      </c>
      <c r="BM94" s="38"/>
      <c r="BN94" s="38"/>
      <c r="BO94" s="3"/>
      <c r="BP94" s="120"/>
      <c r="BQ94" s="35"/>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27" t="s">
        <v>86</v>
      </c>
      <c r="AW95" s="26" t="s">
        <v>753</v>
      </c>
      <c r="AX95" s="78"/>
      <c r="AY95" s="78"/>
      <c r="AZ95" s="148" t="s">
        <v>764</v>
      </c>
      <c r="BA95" s="5" t="s">
        <v>762</v>
      </c>
      <c r="BB95" s="78" t="s">
        <v>778</v>
      </c>
      <c r="BC95" s="78"/>
      <c r="BD95" s="78" t="s">
        <v>773</v>
      </c>
      <c r="BE95" s="78" t="s">
        <v>824</v>
      </c>
      <c r="BF95" s="78"/>
      <c r="BG95" s="78"/>
      <c r="BH95" s="78"/>
      <c r="BI95" s="117"/>
      <c r="BJ95" s="118"/>
      <c r="BK95" s="38" t="s">
        <v>246</v>
      </c>
      <c r="BL95" s="145" t="s">
        <v>748</v>
      </c>
      <c r="BM95" s="133"/>
      <c r="BN95" s="133"/>
      <c r="BO95" s="134"/>
      <c r="BP95" s="135"/>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5" t="s">
        <v>763</v>
      </c>
      <c r="BB96" s="78" t="s">
        <v>779</v>
      </c>
      <c r="BC96" s="78"/>
      <c r="BD96" s="78" t="s">
        <v>774</v>
      </c>
      <c r="BE96" s="78" t="s">
        <v>809</v>
      </c>
      <c r="BF96" s="78"/>
      <c r="BG96" s="78"/>
      <c r="BH96" s="78"/>
      <c r="BI96" s="117"/>
      <c r="BJ96" s="118"/>
      <c r="BK96" s="38" t="s">
        <v>515</v>
      </c>
      <c r="BL96" s="153" t="s">
        <v>516</v>
      </c>
      <c r="BM96" s="38"/>
      <c r="BN96" s="38"/>
      <c r="BO96" s="3"/>
      <c r="BP96" s="29"/>
      <c r="BQ96" s="93"/>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38" t="s">
        <v>284</v>
      </c>
      <c r="BL97" s="38" t="s">
        <v>118</v>
      </c>
      <c r="BM97" s="38"/>
      <c r="BN97" s="38"/>
      <c r="BO97" s="3"/>
      <c r="BP97" s="29"/>
      <c r="BQ97" s="29"/>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46"/>
      <c r="BL98" s="46"/>
      <c r="BM98" s="46"/>
      <c r="BN98" s="46"/>
      <c r="BO98" s="48"/>
      <c r="BP98" s="29"/>
      <c r="BQ98" s="29"/>
      <c r="BR98" s="77"/>
      <c r="BS98" s="77"/>
      <c r="BT98" s="119"/>
    </row>
    <row r="99" spans="2:72" s="115" customFormat="1" x14ac:dyDescent="0.35">
      <c r="B99" s="116"/>
      <c r="C99" s="116"/>
      <c r="D99" s="116"/>
      <c r="E99" s="116"/>
      <c r="F99" s="116"/>
      <c r="G99" s="116"/>
      <c r="H99" s="77"/>
      <c r="K99" s="116"/>
      <c r="L99" s="116"/>
      <c r="N99" s="77"/>
      <c r="O99" s="77"/>
      <c r="P99" s="77"/>
      <c r="Q99" s="77"/>
      <c r="W99" s="77"/>
      <c r="X99" s="77"/>
      <c r="Y99" s="77"/>
      <c r="Z99" s="77"/>
      <c r="AA99" s="77"/>
      <c r="AB99" s="77"/>
      <c r="AC99" s="77"/>
      <c r="AD99" s="77"/>
      <c r="AI99" s="77"/>
      <c r="AJ99" s="77"/>
      <c r="AK99" s="77"/>
      <c r="AL99" s="116"/>
      <c r="AM99" s="117"/>
      <c r="AN99" s="78"/>
      <c r="AO99" s="78"/>
      <c r="AP99" s="117"/>
      <c r="AQ99" s="117"/>
      <c r="AR99" s="78"/>
      <c r="AS99" s="78"/>
      <c r="AT99" s="78"/>
      <c r="AU99" s="78"/>
      <c r="AV99" s="117"/>
      <c r="AW99" s="78"/>
      <c r="AX99" s="78"/>
      <c r="AY99" s="78"/>
      <c r="AZ99" s="78"/>
      <c r="BA99" s="78"/>
      <c r="BB99" s="78"/>
      <c r="BC99" s="78"/>
      <c r="BD99" s="78"/>
      <c r="BE99" s="78"/>
      <c r="BF99" s="78"/>
      <c r="BG99" s="78"/>
      <c r="BH99" s="78"/>
      <c r="BI99" s="117"/>
      <c r="BJ99" s="118"/>
      <c r="BK99" s="78"/>
      <c r="BL99" s="78"/>
      <c r="BM99" s="78"/>
      <c r="BN99" s="78"/>
      <c r="BP99" s="116"/>
      <c r="BQ99" s="116"/>
      <c r="BR99" s="77"/>
      <c r="BS99" s="77"/>
      <c r="BT99" s="119"/>
    </row>
    <row r="100" spans="2:72" s="115" customFormat="1" x14ac:dyDescent="0.35">
      <c r="B100" s="116"/>
      <c r="C100" s="116"/>
      <c r="D100" s="116"/>
      <c r="E100" s="116"/>
      <c r="F100" s="116"/>
      <c r="G100" s="116"/>
      <c r="H100" s="77"/>
      <c r="K100" s="116"/>
      <c r="L100" s="116"/>
      <c r="N100" s="77"/>
      <c r="O100" s="77"/>
      <c r="P100" s="77"/>
      <c r="Q100" s="77"/>
      <c r="W100" s="77"/>
      <c r="X100" s="77"/>
      <c r="Y100" s="77"/>
      <c r="Z100" s="77"/>
      <c r="AA100" s="77"/>
      <c r="AB100" s="77"/>
      <c r="AC100" s="77"/>
      <c r="AD100" s="77"/>
      <c r="AI100" s="77"/>
      <c r="AJ100" s="77"/>
      <c r="AK100" s="77"/>
      <c r="AL100" s="116"/>
      <c r="AM100" s="117"/>
      <c r="AN100" s="78"/>
      <c r="AO100" s="78"/>
      <c r="AP100" s="117"/>
      <c r="AQ100" s="117"/>
      <c r="AR100" s="78"/>
      <c r="AS100" s="78"/>
      <c r="AT100" s="78"/>
      <c r="AU100" s="78"/>
      <c r="AV100" s="117"/>
      <c r="AW100" s="78"/>
      <c r="AX100" s="78"/>
      <c r="AY100" s="78"/>
      <c r="AZ100" s="78"/>
      <c r="BA100" s="78"/>
      <c r="BB100" s="78"/>
      <c r="BC100" s="78"/>
      <c r="BD100" s="78"/>
      <c r="BE100" s="78"/>
      <c r="BF100" s="78"/>
      <c r="BG100" s="78"/>
      <c r="BH100" s="78"/>
      <c r="BI100" s="117"/>
      <c r="BJ100" s="118"/>
      <c r="BK100" s="78"/>
      <c r="BL100" s="78"/>
      <c r="BM100" s="78"/>
      <c r="BN100" s="78"/>
      <c r="BP100" s="116"/>
      <c r="BQ100" s="116"/>
      <c r="BR100" s="77"/>
      <c r="BS100" s="77"/>
      <c r="BT100"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815</v>
      </c>
      <c r="C2" t="s">
        <v>816</v>
      </c>
    </row>
    <row r="3" spans="2:8" ht="15" thickBot="1" x14ac:dyDescent="0.4">
      <c r="D3" s="162"/>
    </row>
    <row r="4" spans="2:8" ht="15" thickBot="1" x14ac:dyDescent="0.4">
      <c r="B4" s="161" t="s">
        <v>813</v>
      </c>
      <c r="C4" s="158" t="s">
        <v>812</v>
      </c>
      <c r="D4" s="158" t="s">
        <v>814</v>
      </c>
      <c r="E4" s="31" t="s">
        <v>22</v>
      </c>
      <c r="F4" s="31" t="s">
        <v>20</v>
      </c>
      <c r="G4" s="31" t="s">
        <v>11</v>
      </c>
      <c r="H4" s="159"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60">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817</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2025-11-24T14:22:54Z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